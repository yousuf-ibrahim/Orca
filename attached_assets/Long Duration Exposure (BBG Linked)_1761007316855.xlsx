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ommon\Investments - 2024\DPM and High Value Accounts Live Positions\"/>
    </mc:Choice>
  </mc:AlternateContent>
  <xr:revisionPtr revIDLastSave="0" documentId="13_ncr:1_{B936D396-F06F-4D20-9CDD-182FA4399C40}" xr6:coauthVersionLast="47" xr6:coauthVersionMax="47" xr10:uidLastSave="{00000000-0000-0000-0000-000000000000}"/>
  <bookViews>
    <workbookView xWindow="-120" yWindow="-120" windowWidth="29040" windowHeight="15720" activeTab="1" xr2:uid="{6E772A17-C25C-4104-BD82-76938F3EDEF0}"/>
  </bookViews>
  <sheets>
    <sheet name="DPM Bonds" sheetId="3" r:id="rId1"/>
    <sheet name="DPM ETFs" sheetId="4" r:id="rId2"/>
    <sheet name="High Value Bonds" sheetId="5" r:id="rId3"/>
    <sheet name="High Value ETFs" sheetId="6" r:id="rId4"/>
  </sheets>
  <externalReferences>
    <externalReference r:id="rId5"/>
    <externalReference r:id="rId6"/>
  </externalReferences>
  <definedNames>
    <definedName name="_xlnm._FilterDatabase" localSheetId="0" hidden="1">'DPM Bonds'!$A$1:$BL$1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5" l="1"/>
  <c r="N16" i="5"/>
  <c r="N15" i="5"/>
  <c r="N14" i="5"/>
  <c r="N13" i="5"/>
  <c r="N16" i="3"/>
  <c r="N15" i="3"/>
  <c r="N14" i="3"/>
  <c r="N13" i="3"/>
  <c r="N8" i="5"/>
  <c r="N7" i="5"/>
  <c r="N7" i="3"/>
  <c r="N12" i="5"/>
  <c r="N12" i="3"/>
  <c r="N11" i="3"/>
  <c r="N6" i="5"/>
  <c r="N6" i="3"/>
  <c r="N5" i="3"/>
  <c r="N11" i="5"/>
  <c r="N10" i="5"/>
  <c r="N9" i="3"/>
  <c r="N10" i="3"/>
  <c r="H17" i="5"/>
  <c r="H16" i="5"/>
  <c r="H15" i="5"/>
  <c r="H14" i="5"/>
  <c r="H13" i="5"/>
  <c r="H16" i="3"/>
  <c r="H15" i="3"/>
  <c r="H14" i="3"/>
  <c r="H13" i="3"/>
  <c r="I30" i="5"/>
  <c r="I32" i="3"/>
  <c r="I31" i="3"/>
  <c r="X19" i="5" a="1"/>
  <c r="X19" i="5"/>
  <c r="X18" i="5" a="1"/>
  <c r="X18" i="5"/>
  <c r="X22" i="3" a="1"/>
  <c r="X22" i="3"/>
  <c r="X21" i="3" a="1"/>
  <c r="X21" i="3"/>
  <c r="X20" i="3" a="1"/>
  <c r="X20" i="3"/>
  <c r="X19" i="3" a="1"/>
  <c r="X19" i="3"/>
  <c r="X18" i="3" a="1"/>
  <c r="X18" i="3"/>
  <c r="X17" i="3" a="1"/>
  <c r="X17" i="3"/>
  <c r="E32" i="5"/>
  <c r="E39" i="3"/>
  <c r="E38" i="3"/>
  <c r="AA11" i="5" a="1"/>
  <c r="AA11" i="5"/>
  <c r="AA10" i="5" a="1"/>
  <c r="AA10" i="5"/>
  <c r="AA9" i="3" a="1"/>
  <c r="AA9" i="3"/>
  <c r="AA10" i="3" a="1"/>
  <c r="AA10" i="3"/>
  <c r="AM9" i="5"/>
  <c r="AM8" i="3"/>
  <c r="L30" i="5"/>
  <c r="AS30" i="5"/>
  <c r="L32" i="3"/>
  <c r="L31" i="3"/>
  <c r="AS32" i="3"/>
  <c r="AS31" i="3"/>
  <c r="H32" i="5"/>
  <c r="H39" i="3"/>
  <c r="H38" i="3"/>
  <c r="Z25" i="5" a="1"/>
  <c r="Z25" i="5"/>
  <c r="Z24" i="5" a="1"/>
  <c r="Z24" i="5"/>
  <c r="Z23" i="5" a="1"/>
  <c r="Z23" i="5"/>
  <c r="Z22" i="5" a="1"/>
  <c r="Z22" i="5"/>
  <c r="Z29" i="3" a="1"/>
  <c r="Z29" i="3"/>
  <c r="Z28" i="3" a="1"/>
  <c r="Z28" i="3"/>
  <c r="Z27" i="3" a="1"/>
  <c r="Z27" i="3"/>
  <c r="Z26" i="3" a="1"/>
  <c r="Z26" i="3"/>
  <c r="Z25" i="3" a="1"/>
  <c r="Z25" i="3"/>
  <c r="Z24" i="3" a="1"/>
  <c r="Z24" i="3"/>
  <c r="Z23" i="3" a="1"/>
  <c r="Z23" i="3"/>
  <c r="V17" i="5" a="1"/>
  <c r="V17" i="5"/>
  <c r="V16" i="5" a="1"/>
  <c r="V16" i="5"/>
  <c r="V15" i="5" a="1"/>
  <c r="V15" i="5"/>
  <c r="V14" i="5" a="1"/>
  <c r="V14" i="5"/>
  <c r="V13" i="5" a="1"/>
  <c r="V13" i="5"/>
  <c r="V16" i="3" a="1"/>
  <c r="V16" i="3"/>
  <c r="V15" i="3" a="1"/>
  <c r="V15" i="3"/>
  <c r="V14" i="3" a="1"/>
  <c r="V14" i="3"/>
  <c r="V13" i="3" a="1"/>
  <c r="V13" i="3"/>
  <c r="X11" i="5" a="1"/>
  <c r="X11" i="5"/>
  <c r="X10" i="5" a="1"/>
  <c r="X10" i="5"/>
  <c r="X9" i="3" a="1"/>
  <c r="X9" i="3"/>
  <c r="X10" i="3" a="1"/>
  <c r="X10" i="3"/>
  <c r="V6" i="5" a="1"/>
  <c r="V6" i="5"/>
  <c r="V6" i="3" a="1"/>
  <c r="V6" i="3"/>
  <c r="V5" i="3" a="1"/>
  <c r="V5" i="3"/>
  <c r="Q25" i="5"/>
  <c r="Q24" i="5"/>
  <c r="Q23" i="5"/>
  <c r="Q22" i="5"/>
  <c r="Q29" i="3"/>
  <c r="Q28" i="3"/>
  <c r="Q27" i="3"/>
  <c r="Q26" i="3"/>
  <c r="Q25" i="3"/>
  <c r="Q24" i="3"/>
  <c r="Q23" i="3"/>
  <c r="AA17" i="5" a="1"/>
  <c r="AA17" i="5"/>
  <c r="AA16" i="5" a="1"/>
  <c r="AA16" i="5"/>
  <c r="AA15" i="5" a="1"/>
  <c r="AA15" i="5"/>
  <c r="AA14" i="5" a="1"/>
  <c r="AA14" i="5"/>
  <c r="AA13" i="5" a="1"/>
  <c r="AA13" i="5"/>
  <c r="AA16" i="3" a="1"/>
  <c r="AA16" i="3"/>
  <c r="AA15" i="3" a="1"/>
  <c r="AA15" i="3"/>
  <c r="AA14" i="3" a="1"/>
  <c r="AA14" i="3"/>
  <c r="AA13" i="3" a="1"/>
  <c r="AA13" i="3"/>
  <c r="AD8" i="5"/>
  <c r="AD7" i="5"/>
  <c r="AD7" i="3"/>
  <c r="Y6" i="5" a="1"/>
  <c r="Y6" i="5"/>
  <c r="Y6" i="3" a="1"/>
  <c r="Y6" i="3"/>
  <c r="Y5" i="3" a="1"/>
  <c r="Y5" i="3"/>
  <c r="K8" i="5"/>
  <c r="K7" i="5"/>
  <c r="K7" i="3"/>
  <c r="F8" i="5"/>
  <c r="F7" i="5"/>
  <c r="F7" i="3"/>
  <c r="H8" i="5"/>
  <c r="H7" i="5"/>
  <c r="H7" i="3"/>
  <c r="AD6" i="5"/>
  <c r="AD6" i="3"/>
  <c r="AD5" i="3"/>
  <c r="AO30" i="5"/>
  <c r="AO32" i="3"/>
  <c r="AO31" i="3"/>
  <c r="AE19" i="5"/>
  <c r="AE18" i="5"/>
  <c r="AE22" i="3"/>
  <c r="AE21" i="3"/>
  <c r="AE20" i="3"/>
  <c r="AE19" i="3"/>
  <c r="AE18" i="3"/>
  <c r="AE17" i="3"/>
  <c r="W17" i="5" a="1"/>
  <c r="W17" i="5"/>
  <c r="W16" i="5" a="1"/>
  <c r="W16" i="5"/>
  <c r="W15" i="5" a="1"/>
  <c r="W15" i="5"/>
  <c r="W14" i="5" a="1"/>
  <c r="W14" i="5"/>
  <c r="W13" i="5" a="1"/>
  <c r="W13" i="5"/>
  <c r="W16" i="3" a="1"/>
  <c r="W16" i="3"/>
  <c r="W15" i="3" a="1"/>
  <c r="W15" i="3"/>
  <c r="W14" i="3" a="1"/>
  <c r="W14" i="3"/>
  <c r="W13" i="3" a="1"/>
  <c r="W13" i="3"/>
  <c r="I17" i="5"/>
  <c r="AO17" i="5" s="1"/>
  <c r="I16" i="5"/>
  <c r="AO16" i="5" s="1"/>
  <c r="I15" i="5"/>
  <c r="AO15" i="5" s="1"/>
  <c r="I14" i="5"/>
  <c r="AO14" i="5" s="1"/>
  <c r="I13" i="5"/>
  <c r="AO13" i="5" s="1"/>
  <c r="I16" i="3"/>
  <c r="AO16" i="3" s="1"/>
  <c r="I15" i="3"/>
  <c r="AO15" i="3" s="1"/>
  <c r="I14" i="3"/>
  <c r="AO14" i="3" s="1"/>
  <c r="I13" i="3"/>
  <c r="AO13" i="3" s="1"/>
  <c r="AA25" i="5" a="1"/>
  <c r="AA25" i="5"/>
  <c r="AA24" i="5" a="1"/>
  <c r="AA24" i="5"/>
  <c r="AA23" i="5" a="1"/>
  <c r="AA23" i="5"/>
  <c r="AA22" i="5" a="1"/>
  <c r="AA22" i="5"/>
  <c r="AA29" i="3" a="1"/>
  <c r="AA29" i="3"/>
  <c r="AA28" i="3" a="1"/>
  <c r="AA28" i="3"/>
  <c r="AA27" i="3" a="1"/>
  <c r="AA27" i="3"/>
  <c r="AA26" i="3" a="1"/>
  <c r="AA26" i="3"/>
  <c r="AA25" i="3" a="1"/>
  <c r="AA25" i="3"/>
  <c r="AA24" i="3" a="1"/>
  <c r="AA24" i="3"/>
  <c r="AA23" i="3" a="1"/>
  <c r="AA23" i="3"/>
  <c r="AK19" i="5" a="1"/>
  <c r="AK19" i="5"/>
  <c r="AK18" i="5" a="1"/>
  <c r="AK18" i="5"/>
  <c r="AK22" i="3" a="1"/>
  <c r="AK22" i="3"/>
  <c r="AK21" i="3" a="1"/>
  <c r="AK21" i="3"/>
  <c r="AK20" i="3" a="1"/>
  <c r="AK20" i="3"/>
  <c r="AK19" i="3" a="1"/>
  <c r="AK19" i="3"/>
  <c r="AK18" i="3" a="1"/>
  <c r="AK18" i="3"/>
  <c r="AK17" i="3" a="1"/>
  <c r="AK17" i="3"/>
  <c r="AU8" i="5"/>
  <c r="AU7" i="5"/>
  <c r="AU7" i="3"/>
  <c r="AU9" i="5"/>
  <c r="AU8" i="3"/>
  <c r="AD17" i="5"/>
  <c r="AD16" i="5"/>
  <c r="AD15" i="5"/>
  <c r="AD14" i="5"/>
  <c r="AD13" i="5"/>
  <c r="AD16" i="3"/>
  <c r="AD15" i="3"/>
  <c r="AD14" i="3"/>
  <c r="AD13" i="3"/>
  <c r="E17" i="5"/>
  <c r="E16" i="5"/>
  <c r="E15" i="5"/>
  <c r="E14" i="5"/>
  <c r="E13" i="5"/>
  <c r="E16" i="3"/>
  <c r="E15" i="3"/>
  <c r="E14" i="3"/>
  <c r="E13" i="3"/>
  <c r="W12" i="5" a="1"/>
  <c r="W12" i="5"/>
  <c r="W12" i="3" a="1"/>
  <c r="W12" i="3"/>
  <c r="W11" i="3" a="1"/>
  <c r="W11" i="3"/>
  <c r="F17" i="5"/>
  <c r="F16" i="5"/>
  <c r="F15" i="5"/>
  <c r="F14" i="5"/>
  <c r="F13" i="5"/>
  <c r="F16" i="3"/>
  <c r="F15" i="3"/>
  <c r="F14" i="3"/>
  <c r="F13" i="3"/>
  <c r="H11" i="5"/>
  <c r="H10" i="5"/>
  <c r="H9" i="3"/>
  <c r="H10" i="3"/>
  <c r="K17" i="5"/>
  <c r="K16" i="5"/>
  <c r="K15" i="5"/>
  <c r="K14" i="5"/>
  <c r="K13" i="5"/>
  <c r="K16" i="3"/>
  <c r="K15" i="3"/>
  <c r="K14" i="3"/>
  <c r="K13" i="3"/>
  <c r="AM8" i="5"/>
  <c r="AM7" i="5"/>
  <c r="AM7" i="3"/>
  <c r="K30" i="5"/>
  <c r="K32" i="3"/>
  <c r="K31" i="3"/>
  <c r="AK8" i="5" a="1"/>
  <c r="AK8" i="5"/>
  <c r="AK7" i="5" a="1"/>
  <c r="AK7" i="5"/>
  <c r="AK7" i="3" a="1"/>
  <c r="AK7" i="3"/>
  <c r="AK32" i="5" a="1"/>
  <c r="AK32" i="5"/>
  <c r="AK39" i="3" a="1"/>
  <c r="AK39" i="3"/>
  <c r="AK38" i="3" a="1"/>
  <c r="AK38" i="3"/>
  <c r="K19" i="5"/>
  <c r="K18" i="5"/>
  <c r="K22" i="3"/>
  <c r="K21" i="3"/>
  <c r="K20" i="3"/>
  <c r="K19" i="3"/>
  <c r="K18" i="3"/>
  <c r="K17" i="3"/>
  <c r="Y9" i="5" a="1"/>
  <c r="Y9" i="5"/>
  <c r="Y8" i="3" a="1"/>
  <c r="Y8" i="3"/>
  <c r="W11" i="5" a="1"/>
  <c r="W11" i="5"/>
  <c r="W10" i="5" a="1"/>
  <c r="W10" i="5"/>
  <c r="W9" i="3" a="1"/>
  <c r="W9" i="3"/>
  <c r="W10" i="3" a="1"/>
  <c r="W10" i="3"/>
  <c r="Z8" i="5" a="1"/>
  <c r="Z8" i="5"/>
  <c r="Z7" i="5" a="1"/>
  <c r="Z7" i="5"/>
  <c r="Z7" i="3" a="1"/>
  <c r="Z7" i="3"/>
  <c r="F9" i="5"/>
  <c r="F8" i="3"/>
  <c r="Q30" i="5"/>
  <c r="Q32" i="3"/>
  <c r="Q31" i="3"/>
  <c r="V12" i="5" a="1"/>
  <c r="V12" i="5"/>
  <c r="V12" i="3" a="1"/>
  <c r="V12" i="3"/>
  <c r="V11" i="3" a="1"/>
  <c r="V11" i="3"/>
  <c r="X30" i="5" a="1"/>
  <c r="X30" i="5"/>
  <c r="X32" i="3" a="1"/>
  <c r="X32" i="3"/>
  <c r="X31" i="3" a="1"/>
  <c r="X31" i="3"/>
  <c r="Z17" i="5" a="1"/>
  <c r="Z17" i="5"/>
  <c r="Z16" i="5" a="1"/>
  <c r="Z16" i="5"/>
  <c r="Z15" i="5" a="1"/>
  <c r="Z15" i="5"/>
  <c r="Z14" i="5" a="1"/>
  <c r="Z14" i="5"/>
  <c r="Z13" i="5" a="1"/>
  <c r="Z13" i="5"/>
  <c r="Z16" i="3" a="1"/>
  <c r="Z16" i="3"/>
  <c r="Z15" i="3" a="1"/>
  <c r="Z15" i="3"/>
  <c r="Z14" i="3" a="1"/>
  <c r="Z14" i="3"/>
  <c r="Z13" i="3" a="1"/>
  <c r="Z13" i="3"/>
  <c r="L8" i="5"/>
  <c r="L7" i="5"/>
  <c r="AS8" i="5"/>
  <c r="AS7" i="5"/>
  <c r="L7" i="3"/>
  <c r="AS7" i="3"/>
  <c r="AS32" i="5"/>
  <c r="AS39" i="3"/>
  <c r="AS38" i="3"/>
  <c r="Z19" i="5" a="1"/>
  <c r="Z19" i="5"/>
  <c r="Z18" i="5" a="1"/>
  <c r="Z18" i="5"/>
  <c r="Z22" i="3" a="1"/>
  <c r="Z22" i="3"/>
  <c r="Z21" i="3" a="1"/>
  <c r="Z21" i="3"/>
  <c r="Z20" i="3" a="1"/>
  <c r="Z20" i="3"/>
  <c r="Z19" i="3" a="1"/>
  <c r="Z19" i="3"/>
  <c r="Z18" i="3" a="1"/>
  <c r="Z18" i="3"/>
  <c r="Z17" i="3" a="1"/>
  <c r="Z17" i="3"/>
  <c r="I12" i="5"/>
  <c r="I12" i="3"/>
  <c r="I11" i="3"/>
  <c r="W9" i="5" a="1"/>
  <c r="W9" i="5"/>
  <c r="W8" i="3" a="1"/>
  <c r="W8" i="3"/>
  <c r="I32" i="5"/>
  <c r="I39" i="3"/>
  <c r="I38" i="3"/>
  <c r="AD11" i="5"/>
  <c r="AD10" i="5"/>
  <c r="AD9" i="3"/>
  <c r="AD10" i="3"/>
  <c r="N25" i="5"/>
  <c r="N24" i="5"/>
  <c r="N23" i="5"/>
  <c r="N22" i="5"/>
  <c r="N29" i="3"/>
  <c r="N28" i="3"/>
  <c r="N27" i="3"/>
  <c r="N26" i="3"/>
  <c r="N25" i="3"/>
  <c r="N24" i="3"/>
  <c r="N23" i="3"/>
  <c r="K32" i="5"/>
  <c r="K39" i="3"/>
  <c r="K38" i="3"/>
  <c r="AA19" i="5" a="1"/>
  <c r="AA19" i="5"/>
  <c r="AA18" i="5" a="1"/>
  <c r="AA18" i="5"/>
  <c r="AA22" i="3" a="1"/>
  <c r="AA22" i="3"/>
  <c r="AA21" i="3" a="1"/>
  <c r="AA21" i="3"/>
  <c r="AA20" i="3" a="1"/>
  <c r="AA20" i="3"/>
  <c r="AA19" i="3" a="1"/>
  <c r="AA19" i="3"/>
  <c r="AA18" i="3" a="1"/>
  <c r="AA18" i="3"/>
  <c r="AA17" i="3" a="1"/>
  <c r="AA17" i="3"/>
  <c r="Y17" i="5" a="1"/>
  <c r="Y17" i="5"/>
  <c r="Y16" i="5" a="1"/>
  <c r="Y16" i="5"/>
  <c r="Y15" i="5" a="1"/>
  <c r="Y15" i="5"/>
  <c r="Y14" i="5" a="1"/>
  <c r="Y14" i="5"/>
  <c r="Y13" i="5" a="1"/>
  <c r="Y13" i="5"/>
  <c r="Y16" i="3" a="1"/>
  <c r="Y16" i="3"/>
  <c r="Y15" i="3" a="1"/>
  <c r="Y15" i="3"/>
  <c r="Y14" i="3" a="1"/>
  <c r="Y14" i="3"/>
  <c r="Y13" i="3" a="1"/>
  <c r="Y13" i="3"/>
  <c r="AS11" i="5"/>
  <c r="AS10" i="5"/>
  <c r="AS9" i="3"/>
  <c r="AS10" i="3"/>
  <c r="AU32" i="5"/>
  <c r="AU39" i="3"/>
  <c r="AU38" i="3"/>
  <c r="N30" i="5"/>
  <c r="N32" i="3"/>
  <c r="N31" i="3"/>
  <c r="H25" i="5"/>
  <c r="H24" i="5"/>
  <c r="H23" i="5"/>
  <c r="H22" i="5"/>
  <c r="H29" i="3"/>
  <c r="H28" i="3"/>
  <c r="H27" i="3"/>
  <c r="H26" i="3"/>
  <c r="H25" i="3"/>
  <c r="H24" i="3"/>
  <c r="H23" i="3"/>
  <c r="W25" i="5" a="1"/>
  <c r="W25" i="5"/>
  <c r="W24" i="5" a="1"/>
  <c r="W24" i="5"/>
  <c r="W23" i="5" a="1"/>
  <c r="W23" i="5"/>
  <c r="W22" i="5" a="1"/>
  <c r="W22" i="5"/>
  <c r="W29" i="3" a="1"/>
  <c r="W29" i="3"/>
  <c r="W28" i="3" a="1"/>
  <c r="W28" i="3"/>
  <c r="W27" i="3" a="1"/>
  <c r="W27" i="3"/>
  <c r="W26" i="3" a="1"/>
  <c r="W26" i="3"/>
  <c r="W25" i="3" a="1"/>
  <c r="W25" i="3"/>
  <c r="W24" i="3" a="1"/>
  <c r="W24" i="3"/>
  <c r="W23" i="3" a="1"/>
  <c r="W23" i="3"/>
  <c r="L25" i="5"/>
  <c r="L24" i="5"/>
  <c r="L23" i="5"/>
  <c r="L22" i="5"/>
  <c r="AS25" i="5"/>
  <c r="AS24" i="5"/>
  <c r="AS23" i="5"/>
  <c r="AS22" i="5"/>
  <c r="L29" i="3"/>
  <c r="L28" i="3"/>
  <c r="L27" i="3"/>
  <c r="L26" i="3"/>
  <c r="L25" i="3"/>
  <c r="L24" i="3"/>
  <c r="L23" i="3"/>
  <c r="AS29" i="3"/>
  <c r="AS28" i="3"/>
  <c r="AS27" i="3"/>
  <c r="AS26" i="3"/>
  <c r="AS25" i="3"/>
  <c r="AS24" i="3"/>
  <c r="AS23" i="3"/>
  <c r="AU17" i="5"/>
  <c r="AU16" i="5"/>
  <c r="AU15" i="5"/>
  <c r="AU14" i="5"/>
  <c r="AU13" i="5"/>
  <c r="AU16" i="3"/>
  <c r="AU15" i="3"/>
  <c r="AU14" i="3"/>
  <c r="AU13" i="3"/>
  <c r="AU30" i="5"/>
  <c r="AU32" i="3"/>
  <c r="AU31" i="3"/>
  <c r="W32" i="5" a="1"/>
  <c r="W32" i="5"/>
  <c r="W39" i="3" a="1"/>
  <c r="W39" i="3"/>
  <c r="W38" i="3" a="1"/>
  <c r="W38" i="3"/>
  <c r="AE32" i="5"/>
  <c r="AE39" i="3"/>
  <c r="AE38" i="3"/>
  <c r="AO12" i="5"/>
  <c r="AO12" i="3"/>
  <c r="AO11" i="3"/>
  <c r="AA12" i="5" a="1"/>
  <c r="AA12" i="5"/>
  <c r="AA12" i="3" a="1"/>
  <c r="AA12" i="3"/>
  <c r="AA11" i="3" a="1"/>
  <c r="AA11" i="3"/>
  <c r="AK11" i="5" a="1"/>
  <c r="AK11" i="5"/>
  <c r="AK10" i="5" a="1"/>
  <c r="AK10" i="5"/>
  <c r="AK9" i="3" a="1"/>
  <c r="AK9" i="3"/>
  <c r="AK10" i="3" a="1"/>
  <c r="AK10" i="3"/>
  <c r="AE6" i="5"/>
  <c r="AE6" i="3"/>
  <c r="AE5" i="3"/>
  <c r="AA6" i="5" a="1"/>
  <c r="AA6" i="5"/>
  <c r="AA6" i="3" a="1"/>
  <c r="AA6" i="3"/>
  <c r="AA5" i="3" a="1"/>
  <c r="AA5" i="3"/>
  <c r="AE12" i="5"/>
  <c r="AE12" i="3"/>
  <c r="AE11" i="3"/>
  <c r="W30" i="5" a="1"/>
  <c r="W30" i="5"/>
  <c r="W32" i="3" a="1"/>
  <c r="W32" i="3"/>
  <c r="W31" i="3" a="1"/>
  <c r="W31" i="3"/>
  <c r="Z30" i="5" a="1"/>
  <c r="Z30" i="5"/>
  <c r="Z32" i="3" a="1"/>
  <c r="Z32" i="3"/>
  <c r="Z31" i="3" a="1"/>
  <c r="Z31" i="3"/>
  <c r="E25" i="5"/>
  <c r="E24" i="5"/>
  <c r="E23" i="5"/>
  <c r="E22" i="5"/>
  <c r="E29" i="3"/>
  <c r="E28" i="3"/>
  <c r="E27" i="3"/>
  <c r="E26" i="3"/>
  <c r="E25" i="3"/>
  <c r="E24" i="3"/>
  <c r="E23" i="3"/>
  <c r="AK25" i="5" a="1"/>
  <c r="AK25" i="5"/>
  <c r="AK24" i="5" a="1"/>
  <c r="AK24" i="5"/>
  <c r="AK23" i="5" a="1"/>
  <c r="AK23" i="5"/>
  <c r="AK22" i="5" a="1"/>
  <c r="AK22" i="5"/>
  <c r="AK29" i="3" a="1"/>
  <c r="AK29" i="3"/>
  <c r="AK28" i="3" a="1"/>
  <c r="AK28" i="3"/>
  <c r="AK27" i="3" a="1"/>
  <c r="AK27" i="3"/>
  <c r="AK26" i="3" a="1"/>
  <c r="AK26" i="3"/>
  <c r="AK25" i="3" a="1"/>
  <c r="AK25" i="3"/>
  <c r="AK24" i="3" a="1"/>
  <c r="AK24" i="3"/>
  <c r="AK23" i="3" a="1"/>
  <c r="AK23" i="3"/>
  <c r="AU25" i="5"/>
  <c r="AU24" i="5"/>
  <c r="AU23" i="5"/>
  <c r="AU22" i="5"/>
  <c r="AU29" i="3"/>
  <c r="AU28" i="3"/>
  <c r="AU27" i="3"/>
  <c r="AU26" i="3"/>
  <c r="AU25" i="3"/>
  <c r="AU24" i="3"/>
  <c r="AU23" i="3"/>
  <c r="F6" i="5"/>
  <c r="F6" i="3"/>
  <c r="F5" i="3"/>
  <c r="K11" i="5"/>
  <c r="K10" i="5"/>
  <c r="K9" i="3"/>
  <c r="K10" i="3"/>
  <c r="K9" i="5"/>
  <c r="K8" i="3"/>
  <c r="AD12" i="5"/>
  <c r="AD12" i="3"/>
  <c r="AD11" i="3"/>
  <c r="AA32" i="5" a="1"/>
  <c r="AA32" i="5"/>
  <c r="AA39" i="3" a="1"/>
  <c r="AA39" i="3"/>
  <c r="AA38" i="3" a="1"/>
  <c r="AA38" i="3"/>
  <c r="H19" i="5"/>
  <c r="H18" i="5"/>
  <c r="H22" i="3"/>
  <c r="H21" i="3"/>
  <c r="H20" i="3"/>
  <c r="H19" i="3"/>
  <c r="H18" i="3"/>
  <c r="H17" i="3"/>
  <c r="AU12" i="5"/>
  <c r="AU12" i="3"/>
  <c r="AU11" i="3"/>
  <c r="AM6" i="5"/>
  <c r="AM6" i="3"/>
  <c r="AM5" i="3"/>
  <c r="AM30" i="5"/>
  <c r="AM32" i="3"/>
  <c r="AM31" i="3"/>
  <c r="AE8" i="5"/>
  <c r="AE7" i="5"/>
  <c r="AE7" i="3"/>
  <c r="N9" i="5"/>
  <c r="N8" i="3"/>
  <c r="AS6" i="5"/>
  <c r="AS6" i="3"/>
  <c r="AS5" i="3"/>
  <c r="X32" i="5" a="1"/>
  <c r="X32" i="5"/>
  <c r="X39" i="3" a="1"/>
  <c r="X39" i="3"/>
  <c r="X38" i="3" a="1"/>
  <c r="X38" i="3"/>
  <c r="E9" i="5"/>
  <c r="E8" i="3"/>
  <c r="AE30" i="5"/>
  <c r="AE32" i="3"/>
  <c r="AE31" i="3"/>
  <c r="H9" i="5"/>
  <c r="H8" i="3"/>
  <c r="K25" i="5"/>
  <c r="K24" i="5"/>
  <c r="K23" i="5"/>
  <c r="K22" i="5"/>
  <c r="K29" i="3"/>
  <c r="K28" i="3"/>
  <c r="K27" i="3"/>
  <c r="K26" i="3"/>
  <c r="K25" i="3"/>
  <c r="K24" i="3"/>
  <c r="K23" i="3"/>
  <c r="H12" i="5"/>
  <c r="H12" i="3"/>
  <c r="H11" i="3"/>
  <c r="L19" i="5"/>
  <c r="L18" i="5"/>
  <c r="AS19" i="5"/>
  <c r="AS18" i="5"/>
  <c r="L22" i="3"/>
  <c r="L21" i="3"/>
  <c r="L20" i="3"/>
  <c r="L19" i="3"/>
  <c r="L18" i="3"/>
  <c r="L17" i="3"/>
  <c r="AS22" i="3"/>
  <c r="AS21" i="3"/>
  <c r="AS20" i="3"/>
  <c r="AS19" i="3"/>
  <c r="AS18" i="3"/>
  <c r="AS17" i="3"/>
  <c r="Y11" i="5" a="1"/>
  <c r="Y11" i="5"/>
  <c r="Y10" i="5" a="1"/>
  <c r="Y10" i="5"/>
  <c r="Y9" i="3" a="1"/>
  <c r="Y9" i="3"/>
  <c r="Y10" i="3" a="1"/>
  <c r="Y10" i="3"/>
  <c r="AS9" i="5"/>
  <c r="AS8" i="3"/>
  <c r="AD25" i="5"/>
  <c r="AD24" i="5"/>
  <c r="AD23" i="5"/>
  <c r="AD22" i="5"/>
  <c r="AD29" i="3"/>
  <c r="AD28" i="3"/>
  <c r="AD27" i="3"/>
  <c r="AD26" i="3"/>
  <c r="AD25" i="3"/>
  <c r="AD24" i="3"/>
  <c r="AD23" i="3"/>
  <c r="AA9" i="5" a="1"/>
  <c r="AA9" i="5"/>
  <c r="AA8" i="3" a="1"/>
  <c r="AA8" i="3"/>
  <c r="Q9" i="5"/>
  <c r="Q8" i="3"/>
  <c r="L12" i="5"/>
  <c r="AS12" i="5"/>
  <c r="L12" i="3"/>
  <c r="L11" i="3"/>
  <c r="AS12" i="3"/>
  <c r="AS11" i="3"/>
  <c r="AK17" i="5" a="1"/>
  <c r="AK17" i="5"/>
  <c r="AK16" i="5" a="1"/>
  <c r="AK16" i="5"/>
  <c r="AK15" i="5" a="1"/>
  <c r="AK15" i="5"/>
  <c r="AK14" i="5" a="1"/>
  <c r="AK14" i="5"/>
  <c r="AK13" i="5" a="1"/>
  <c r="AK13" i="5"/>
  <c r="AK16" i="3" a="1"/>
  <c r="AK16" i="3"/>
  <c r="AK15" i="3" a="1"/>
  <c r="AK15" i="3"/>
  <c r="AK14" i="3" a="1"/>
  <c r="AK14" i="3"/>
  <c r="AK13" i="3" a="1"/>
  <c r="AK13" i="3"/>
  <c r="V8" i="5" a="1"/>
  <c r="V8" i="5"/>
  <c r="V7" i="5" a="1"/>
  <c r="V7" i="5"/>
  <c r="V7" i="3" a="1"/>
  <c r="V7" i="3"/>
  <c r="AK6" i="5" a="1"/>
  <c r="AK6" i="5"/>
  <c r="AK6" i="3" a="1"/>
  <c r="AK6" i="3"/>
  <c r="AK5" i="3" a="1"/>
  <c r="AK5" i="3"/>
  <c r="H30" i="5"/>
  <c r="H32" i="3"/>
  <c r="H31" i="3"/>
  <c r="Q17" i="5"/>
  <c r="Q16" i="5"/>
  <c r="Q15" i="5"/>
  <c r="Q14" i="5"/>
  <c r="Q13" i="5"/>
  <c r="Q16" i="3"/>
  <c r="Q15" i="3"/>
  <c r="Q14" i="3"/>
  <c r="Q13" i="3"/>
  <c r="AE9" i="5"/>
  <c r="AE8" i="3"/>
  <c r="L11" i="5"/>
  <c r="L10" i="5"/>
  <c r="L9" i="3"/>
  <c r="L10" i="3"/>
  <c r="Y32" i="5" a="1"/>
  <c r="Y32" i="5"/>
  <c r="Y39" i="3" a="1"/>
  <c r="Y39" i="3"/>
  <c r="Y38" i="3" a="1"/>
  <c r="Y38" i="3"/>
  <c r="Z12" i="5" a="1"/>
  <c r="Z12" i="5"/>
  <c r="Z12" i="3" a="1"/>
  <c r="Z12" i="3"/>
  <c r="Z11" i="3" a="1"/>
  <c r="Z11" i="3"/>
  <c r="N19" i="5"/>
  <c r="N18" i="5"/>
  <c r="N22" i="3"/>
  <c r="N21" i="3"/>
  <c r="N20" i="3"/>
  <c r="N19" i="3"/>
  <c r="N18" i="3"/>
  <c r="N17" i="3"/>
  <c r="E8" i="5"/>
  <c r="E7" i="5"/>
  <c r="E7" i="3"/>
  <c r="F19" i="5"/>
  <c r="F18" i="5"/>
  <c r="F22" i="3"/>
  <c r="F21" i="3"/>
  <c r="F20" i="3"/>
  <c r="F19" i="3"/>
  <c r="F18" i="3"/>
  <c r="F17" i="3"/>
  <c r="H6" i="5"/>
  <c r="H6" i="3"/>
  <c r="H5" i="3"/>
  <c r="Y25" i="5" a="1"/>
  <c r="Y25" i="5"/>
  <c r="Y24" i="5" a="1"/>
  <c r="Y24" i="5"/>
  <c r="Y23" i="5" a="1"/>
  <c r="Y23" i="5"/>
  <c r="Y22" i="5" a="1"/>
  <c r="Y22" i="5"/>
  <c r="Y29" i="3" a="1"/>
  <c r="Y29" i="3"/>
  <c r="Y28" i="3" a="1"/>
  <c r="Y28" i="3"/>
  <c r="Y27" i="3" a="1"/>
  <c r="Y27" i="3"/>
  <c r="Y26" i="3" a="1"/>
  <c r="Y26" i="3"/>
  <c r="Y25" i="3" a="1"/>
  <c r="Y25" i="3"/>
  <c r="Y24" i="3" a="1"/>
  <c r="Y24" i="3"/>
  <c r="Y23" i="3" a="1"/>
  <c r="Y23" i="3"/>
  <c r="V25" i="5" a="1"/>
  <c r="V25" i="5"/>
  <c r="V24" i="5" a="1"/>
  <c r="V24" i="5"/>
  <c r="V23" i="5" a="1"/>
  <c r="V23" i="5"/>
  <c r="V22" i="5" a="1"/>
  <c r="V22" i="5"/>
  <c r="V29" i="3" a="1"/>
  <c r="V29" i="3"/>
  <c r="V28" i="3" a="1"/>
  <c r="V28" i="3"/>
  <c r="V27" i="3" a="1"/>
  <c r="V27" i="3"/>
  <c r="V26" i="3" a="1"/>
  <c r="V26" i="3"/>
  <c r="V25" i="3" a="1"/>
  <c r="V25" i="3"/>
  <c r="V24" i="3" a="1"/>
  <c r="V24" i="3"/>
  <c r="V23" i="3" a="1"/>
  <c r="V23" i="3"/>
  <c r="AA30" i="5" a="1"/>
  <c r="AA30" i="5"/>
  <c r="AA32" i="3" a="1"/>
  <c r="AA32" i="3"/>
  <c r="AA31" i="3" a="1"/>
  <c r="AA31" i="3"/>
  <c r="X17" i="5" a="1"/>
  <c r="X17" i="5"/>
  <c r="X16" i="5" a="1"/>
  <c r="X16" i="5"/>
  <c r="X15" i="5" a="1"/>
  <c r="X15" i="5"/>
  <c r="X14" i="5" a="1"/>
  <c r="X14" i="5"/>
  <c r="X13" i="5" a="1"/>
  <c r="X13" i="5"/>
  <c r="X16" i="3" a="1"/>
  <c r="X16" i="3"/>
  <c r="X15" i="3" a="1"/>
  <c r="X15" i="3"/>
  <c r="X14" i="3" a="1"/>
  <c r="X14" i="3"/>
  <c r="X13" i="3" a="1"/>
  <c r="X13" i="3"/>
  <c r="AE17" i="5"/>
  <c r="AE16" i="5"/>
  <c r="AE15" i="5"/>
  <c r="AE14" i="5"/>
  <c r="AE13" i="5"/>
  <c r="AE16" i="3"/>
  <c r="AE15" i="3"/>
  <c r="AE14" i="3"/>
  <c r="AE13" i="3"/>
  <c r="AK12" i="5" a="1"/>
  <c r="AK12" i="5"/>
  <c r="AK12" i="3" a="1"/>
  <c r="AK12" i="3"/>
  <c r="AK11" i="3" a="1"/>
  <c r="AK11" i="3"/>
  <c r="Q12" i="5"/>
  <c r="Q12" i="3"/>
  <c r="Q11" i="3"/>
  <c r="Y19" i="5" a="1"/>
  <c r="Y19" i="5"/>
  <c r="Y18" i="5" a="1"/>
  <c r="Y18" i="5"/>
  <c r="Y22" i="3" a="1"/>
  <c r="Y22" i="3"/>
  <c r="Y21" i="3" a="1"/>
  <c r="Y21" i="3"/>
  <c r="Y20" i="3" a="1"/>
  <c r="Y20" i="3"/>
  <c r="Y19" i="3" a="1"/>
  <c r="Y19" i="3"/>
  <c r="Y18" i="3" a="1"/>
  <c r="Y18" i="3"/>
  <c r="Y17" i="3" a="1"/>
  <c r="Y17" i="3"/>
  <c r="F12" i="5"/>
  <c r="F12" i="3"/>
  <c r="F11" i="3"/>
  <c r="E12" i="5"/>
  <c r="E12" i="3"/>
  <c r="E11" i="3"/>
  <c r="Z32" i="5" a="1"/>
  <c r="Z32" i="5"/>
  <c r="Z39" i="3" a="1"/>
  <c r="Z39" i="3"/>
  <c r="Z38" i="3" a="1"/>
  <c r="Z38" i="3"/>
  <c r="I11" i="5"/>
  <c r="AO11" i="5" s="1"/>
  <c r="I10" i="5"/>
  <c r="AO10" i="5" s="1"/>
  <c r="I9" i="3"/>
  <c r="AO9" i="3" s="1"/>
  <c r="I10" i="3"/>
  <c r="AO10" i="3" s="1"/>
  <c r="AM17" i="5"/>
  <c r="AM16" i="5"/>
  <c r="AM15" i="5"/>
  <c r="AM14" i="5"/>
  <c r="AM13" i="5"/>
  <c r="AM16" i="3"/>
  <c r="AM15" i="3"/>
  <c r="AM14" i="3"/>
  <c r="AM13" i="3"/>
  <c r="AD9" i="5"/>
  <c r="AD8" i="3"/>
  <c r="Y12" i="5" a="1"/>
  <c r="Y12" i="5"/>
  <c r="Y12" i="3" a="1"/>
  <c r="Y12" i="3"/>
  <c r="Y11" i="3" a="1"/>
  <c r="Y11" i="3"/>
  <c r="F25" i="5"/>
  <c r="F24" i="5"/>
  <c r="F23" i="5"/>
  <c r="F22" i="5"/>
  <c r="F29" i="3"/>
  <c r="F28" i="3"/>
  <c r="F27" i="3"/>
  <c r="F26" i="3"/>
  <c r="F25" i="3"/>
  <c r="F24" i="3"/>
  <c r="F23" i="3"/>
  <c r="I8" i="5"/>
  <c r="AO8" i="5" s="1"/>
  <c r="I7" i="5"/>
  <c r="AO7" i="5" s="1"/>
  <c r="I7" i="3"/>
  <c r="AO7" i="3" s="1"/>
  <c r="N32" i="5"/>
  <c r="N39" i="3"/>
  <c r="N38" i="3"/>
  <c r="AD30" i="5"/>
  <c r="AD32" i="3"/>
  <c r="AD31" i="3"/>
  <c r="Q6" i="5"/>
  <c r="Q6" i="3"/>
  <c r="Q5" i="3"/>
  <c r="I6" i="5"/>
  <c r="AO6" i="5" s="1"/>
  <c r="I6" i="3"/>
  <c r="AO6" i="3" s="1"/>
  <c r="I5" i="3"/>
  <c r="AO5" i="3" s="1"/>
  <c r="L32" i="5"/>
  <c r="L39" i="3"/>
  <c r="L38" i="3"/>
  <c r="Y8" i="5" a="1"/>
  <c r="Y8" i="5"/>
  <c r="Y7" i="5" a="1"/>
  <c r="Y7" i="5"/>
  <c r="Y7" i="3" a="1"/>
  <c r="Y7" i="3"/>
  <c r="L9" i="5"/>
  <c r="L8" i="3"/>
  <c r="AE25" i="5"/>
  <c r="AE24" i="5"/>
  <c r="AE23" i="5"/>
  <c r="AE22" i="5"/>
  <c r="AE29" i="3"/>
  <c r="AE28" i="3"/>
  <c r="AE27" i="3"/>
  <c r="AE26" i="3"/>
  <c r="AE25" i="3"/>
  <c r="AE24" i="3"/>
  <c r="AE23" i="3"/>
  <c r="Q11" i="5"/>
  <c r="Q10" i="5"/>
  <c r="Q9" i="3"/>
  <c r="Q10" i="3"/>
  <c r="AM32" i="5"/>
  <c r="AM39" i="3"/>
  <c r="AM38" i="3"/>
  <c r="X6" i="5" a="1"/>
  <c r="X6" i="5"/>
  <c r="X6" i="3" a="1"/>
  <c r="X6" i="3"/>
  <c r="X5" i="3" a="1"/>
  <c r="X5" i="3"/>
  <c r="F32" i="5"/>
  <c r="F39" i="3"/>
  <c r="F38" i="3"/>
  <c r="AU11" i="5"/>
  <c r="AU10" i="5"/>
  <c r="AU9" i="3"/>
  <c r="AU10" i="3"/>
  <c r="E11" i="5"/>
  <c r="E10" i="5"/>
  <c r="E9" i="3"/>
  <c r="E10" i="3"/>
  <c r="AO32" i="5"/>
  <c r="AO39" i="3"/>
  <c r="AO38" i="3"/>
  <c r="W8" i="5" a="1"/>
  <c r="W8" i="5"/>
  <c r="W7" i="5" a="1"/>
  <c r="W7" i="5"/>
  <c r="W7" i="3" a="1"/>
  <c r="W7" i="3"/>
  <c r="X9" i="5" a="1"/>
  <c r="X9" i="5"/>
  <c r="X8" i="3" a="1"/>
  <c r="X8" i="3"/>
  <c r="AK9" i="5" a="1"/>
  <c r="AK9" i="5"/>
  <c r="AK8" i="3" a="1"/>
  <c r="AK8" i="3"/>
  <c r="K6" i="5"/>
  <c r="K6" i="3"/>
  <c r="K5" i="3"/>
  <c r="I9" i="5"/>
  <c r="AO9" i="5" s="1"/>
  <c r="I8" i="3"/>
  <c r="AO8" i="3" s="1"/>
  <c r="AE11" i="5"/>
  <c r="AE10" i="5"/>
  <c r="AE9" i="3"/>
  <c r="AE10" i="3"/>
  <c r="V11" i="5" a="1"/>
  <c r="V11" i="5"/>
  <c r="V10" i="5" a="1"/>
  <c r="V10" i="5"/>
  <c r="V9" i="3" a="1"/>
  <c r="V9" i="3"/>
  <c r="V10" i="3" a="1"/>
  <c r="V10" i="3"/>
  <c r="Z11" i="5" a="1"/>
  <c r="Z11" i="5"/>
  <c r="Z10" i="5" a="1"/>
  <c r="Z10" i="5"/>
  <c r="Z9" i="3" a="1"/>
  <c r="Z9" i="3"/>
  <c r="Z10" i="3" a="1"/>
  <c r="Z10" i="3"/>
  <c r="AK30" i="5" a="1"/>
  <c r="AK30" i="5"/>
  <c r="AK32" i="3" a="1"/>
  <c r="AK32" i="3"/>
  <c r="AK31" i="3" a="1"/>
  <c r="AK31" i="3"/>
  <c r="AM25" i="5"/>
  <c r="AM24" i="5"/>
  <c r="AM23" i="5"/>
  <c r="AM22" i="5"/>
  <c r="AM29" i="3"/>
  <c r="AM28" i="3"/>
  <c r="AM27" i="3"/>
  <c r="AM26" i="3"/>
  <c r="AM25" i="3"/>
  <c r="AM24" i="3"/>
  <c r="AM23" i="3"/>
  <c r="Z6" i="5" a="1"/>
  <c r="Z6" i="5"/>
  <c r="Z6" i="3" a="1"/>
  <c r="Z6" i="3"/>
  <c r="Z5" i="3" a="1"/>
  <c r="Z5" i="3"/>
  <c r="AA8" i="5" a="1"/>
  <c r="AA8" i="5"/>
  <c r="AA7" i="5" a="1"/>
  <c r="AA7" i="5"/>
  <c r="AA7" i="3" a="1"/>
  <c r="AA7" i="3"/>
  <c r="V30" i="5" a="1"/>
  <c r="V30" i="5"/>
  <c r="V32" i="3" a="1"/>
  <c r="V32" i="3"/>
  <c r="V31" i="3" a="1"/>
  <c r="V31" i="3"/>
  <c r="Q32" i="5"/>
  <c r="Q39" i="3"/>
  <c r="Q38" i="3"/>
  <c r="E19" i="5"/>
  <c r="E18" i="5"/>
  <c r="E22" i="3"/>
  <c r="E21" i="3"/>
  <c r="E20" i="3"/>
  <c r="E19" i="3"/>
  <c r="E18" i="3"/>
  <c r="E17" i="3"/>
  <c r="Q19" i="5"/>
  <c r="Q18" i="5"/>
  <c r="Q22" i="3"/>
  <c r="Q21" i="3"/>
  <c r="Q20" i="3"/>
  <c r="Q19" i="3"/>
  <c r="Q18" i="3"/>
  <c r="Q17" i="3"/>
  <c r="L17" i="5"/>
  <c r="L16" i="5"/>
  <c r="L15" i="5"/>
  <c r="L14" i="5"/>
  <c r="L13" i="5"/>
  <c r="AS17" i="5"/>
  <c r="AS16" i="5"/>
  <c r="AS15" i="5"/>
  <c r="AS14" i="5"/>
  <c r="AS13" i="5"/>
  <c r="L16" i="3"/>
  <c r="L15" i="3"/>
  <c r="L14" i="3"/>
  <c r="L13" i="3"/>
  <c r="AS16" i="3"/>
  <c r="AS15" i="3"/>
  <c r="AS14" i="3"/>
  <c r="AS13" i="3"/>
  <c r="K12" i="5"/>
  <c r="K12" i="3"/>
  <c r="K11" i="3"/>
  <c r="V19" i="5" a="1"/>
  <c r="V19" i="5"/>
  <c r="V18" i="5" a="1"/>
  <c r="V18" i="5"/>
  <c r="V22" i="3" a="1"/>
  <c r="V22" i="3"/>
  <c r="V21" i="3" a="1"/>
  <c r="V21" i="3"/>
  <c r="V20" i="3" a="1"/>
  <c r="V20" i="3"/>
  <c r="V19" i="3" a="1"/>
  <c r="V19" i="3"/>
  <c r="V18" i="3" a="1"/>
  <c r="V18" i="3"/>
  <c r="V17" i="3" a="1"/>
  <c r="V17" i="3"/>
  <c r="AM11" i="5"/>
  <c r="AM10" i="5"/>
  <c r="AM9" i="3"/>
  <c r="AM10" i="3"/>
  <c r="AD19" i="5"/>
  <c r="AD18" i="5"/>
  <c r="AD22" i="3"/>
  <c r="AD21" i="3"/>
  <c r="AD20" i="3"/>
  <c r="AD19" i="3"/>
  <c r="AD18" i="3"/>
  <c r="AD17" i="3"/>
  <c r="AU19" i="5"/>
  <c r="AU18" i="5"/>
  <c r="AU22" i="3"/>
  <c r="AU21" i="3"/>
  <c r="AU20" i="3"/>
  <c r="AU19" i="3"/>
  <c r="AU18" i="3"/>
  <c r="AU17" i="3"/>
  <c r="E30" i="5"/>
  <c r="E32" i="3"/>
  <c r="E31" i="3"/>
  <c r="X8" i="5" a="1"/>
  <c r="X8" i="5"/>
  <c r="X7" i="5" a="1"/>
  <c r="X7" i="5"/>
  <c r="X7" i="3" a="1"/>
  <c r="X7" i="3"/>
  <c r="I19" i="5"/>
  <c r="AO19" i="5" s="1"/>
  <c r="I18" i="5"/>
  <c r="AO18" i="5" s="1"/>
  <c r="I22" i="3"/>
  <c r="AO22" i="3" s="1"/>
  <c r="I21" i="3"/>
  <c r="AO21" i="3" s="1"/>
  <c r="I20" i="3"/>
  <c r="AO20" i="3" s="1"/>
  <c r="I19" i="3"/>
  <c r="AO19" i="3" s="1"/>
  <c r="I18" i="3"/>
  <c r="AO18" i="3" s="1"/>
  <c r="I17" i="3"/>
  <c r="AO17" i="3" s="1"/>
  <c r="Z9" i="5" a="1"/>
  <c r="Z9" i="5"/>
  <c r="Z8" i="3" a="1"/>
  <c r="Z8" i="3"/>
  <c r="AM12" i="5"/>
  <c r="AM12" i="3"/>
  <c r="AM11" i="3"/>
  <c r="V32" i="5" a="1"/>
  <c r="V32" i="5"/>
  <c r="V39" i="3" a="1"/>
  <c r="V39" i="3"/>
  <c r="V38" i="3" a="1"/>
  <c r="V38" i="3"/>
  <c r="I25" i="5"/>
  <c r="AO25" i="5" s="1"/>
  <c r="I24" i="5"/>
  <c r="AO24" i="5" s="1"/>
  <c r="I23" i="5"/>
  <c r="AO23" i="5" s="1"/>
  <c r="I22" i="5"/>
  <c r="AO22" i="5" s="1"/>
  <c r="I29" i="3"/>
  <c r="AO29" i="3" s="1"/>
  <c r="I28" i="3"/>
  <c r="AO28" i="3" s="1"/>
  <c r="I27" i="3"/>
  <c r="AO27" i="3" s="1"/>
  <c r="I26" i="3"/>
  <c r="AO26" i="3" s="1"/>
  <c r="I25" i="3"/>
  <c r="AO25" i="3" s="1"/>
  <c r="I24" i="3"/>
  <c r="AO24" i="3" s="1"/>
  <c r="I23" i="3"/>
  <c r="AO23" i="3" s="1"/>
  <c r="V9" i="5" a="1"/>
  <c r="V9" i="5"/>
  <c r="V8" i="3" a="1"/>
  <c r="V8" i="3"/>
  <c r="L6" i="5"/>
  <c r="L6" i="3"/>
  <c r="L5" i="3"/>
  <c r="F30" i="5"/>
  <c r="F32" i="3"/>
  <c r="F31" i="3"/>
  <c r="X12" i="5" a="1"/>
  <c r="X12" i="5"/>
  <c r="X12" i="3" a="1"/>
  <c r="X12" i="3"/>
  <c r="X11" i="3" a="1"/>
  <c r="X11" i="3"/>
  <c r="AU6" i="5"/>
  <c r="AU6" i="3"/>
  <c r="AU5" i="3"/>
  <c r="W6" i="5" a="1"/>
  <c r="W6" i="5"/>
  <c r="W6" i="3" a="1"/>
  <c r="W6" i="3"/>
  <c r="W5" i="3" a="1"/>
  <c r="W5" i="3"/>
  <c r="F11" i="5"/>
  <c r="F10" i="5"/>
  <c r="F9" i="3"/>
  <c r="F10" i="3"/>
  <c r="AM19" i="5"/>
  <c r="AM18" i="5"/>
  <c r="AM22" i="3"/>
  <c r="AM21" i="3"/>
  <c r="AM20" i="3"/>
  <c r="AM19" i="3"/>
  <c r="AM18" i="3"/>
  <c r="AM17" i="3"/>
  <c r="Q8" i="5"/>
  <c r="Q7" i="5"/>
  <c r="Q7" i="3"/>
  <c r="W19" i="5" a="1"/>
  <c r="W19" i="5"/>
  <c r="W18" i="5" a="1"/>
  <c r="W18" i="5"/>
  <c r="W22" i="3" a="1"/>
  <c r="W22" i="3"/>
  <c r="W21" i="3" a="1"/>
  <c r="W21" i="3"/>
  <c r="W20" i="3" a="1"/>
  <c r="W20" i="3"/>
  <c r="W19" i="3" a="1"/>
  <c r="W19" i="3"/>
  <c r="W18" i="3" a="1"/>
  <c r="W18" i="3"/>
  <c r="W17" i="3" a="1"/>
  <c r="W17" i="3"/>
  <c r="AD32" i="5"/>
  <c r="AD39" i="3"/>
  <c r="AD38" i="3"/>
  <c r="X25" i="5" a="1"/>
  <c r="X25" i="5"/>
  <c r="X24" i="5" a="1"/>
  <c r="X24" i="5"/>
  <c r="X23" i="5" a="1"/>
  <c r="X23" i="5"/>
  <c r="X22" i="5" a="1"/>
  <c r="X22" i="5"/>
  <c r="X29" i="3" a="1"/>
  <c r="X29" i="3"/>
  <c r="X28" i="3" a="1"/>
  <c r="X28" i="3"/>
  <c r="X27" i="3" a="1"/>
  <c r="X27" i="3"/>
  <c r="X26" i="3" a="1"/>
  <c r="X26" i="3"/>
  <c r="X25" i="3" a="1"/>
  <c r="X25" i="3"/>
  <c r="X24" i="3" a="1"/>
  <c r="X24" i="3"/>
  <c r="X23" i="3" a="1"/>
  <c r="X23" i="3"/>
  <c r="E6" i="5"/>
  <c r="E6" i="3"/>
  <c r="E5" i="3"/>
  <c r="Y30" i="5" a="1"/>
  <c r="Y30" i="5"/>
  <c r="Y32" i="3" a="1"/>
  <c r="Y32" i="3"/>
  <c r="Y31" i="3" a="1"/>
  <c r="Y31" i="3"/>
  <c r="N2" i="5"/>
  <c r="N4" i="3"/>
  <c r="N3" i="3"/>
  <c r="N2" i="3"/>
  <c r="H37" i="3"/>
  <c r="H36" i="3"/>
  <c r="AA31" i="5" a="1"/>
  <c r="AA31" i="5"/>
  <c r="AA35" i="3" a="1"/>
  <c r="AA35" i="3"/>
  <c r="AA34" i="3" a="1"/>
  <c r="AA34" i="3"/>
  <c r="AA33" i="3" a="1"/>
  <c r="AA33" i="3"/>
  <c r="X31" i="5" a="1"/>
  <c r="X31" i="5"/>
  <c r="X35" i="3" a="1"/>
  <c r="X35" i="3"/>
  <c r="X34" i="3" a="1"/>
  <c r="X34" i="3"/>
  <c r="X33" i="3" a="1"/>
  <c r="X33" i="3"/>
  <c r="K31" i="5"/>
  <c r="K35" i="3"/>
  <c r="K34" i="3"/>
  <c r="K33" i="3"/>
  <c r="V2" i="5" a="1"/>
  <c r="V2" i="5"/>
  <c r="V4" i="3" a="1"/>
  <c r="V4" i="3"/>
  <c r="V3" i="3" a="1"/>
  <c r="V3" i="3"/>
  <c r="V2" i="3" a="1"/>
  <c r="V2" i="3"/>
  <c r="AD30" i="3"/>
  <c r="Q2" i="5"/>
  <c r="Q4" i="3"/>
  <c r="Q3" i="3"/>
  <c r="Q2" i="3"/>
  <c r="AM2" i="5"/>
  <c r="AM4" i="3"/>
  <c r="AM3" i="3"/>
  <c r="AM2" i="3"/>
  <c r="AS30" i="3"/>
  <c r="Q30" i="3"/>
  <c r="I37" i="3"/>
  <c r="I36" i="3"/>
  <c r="AD31" i="5"/>
  <c r="AD35" i="3"/>
  <c r="AD34" i="3"/>
  <c r="AD33" i="3"/>
  <c r="L37" i="3"/>
  <c r="L36" i="3"/>
  <c r="AS37" i="3"/>
  <c r="AS36" i="3"/>
  <c r="Y31" i="5" a="1"/>
  <c r="Y31" i="5"/>
  <c r="Y35" i="3" a="1"/>
  <c r="Y35" i="3"/>
  <c r="Y34" i="3" a="1"/>
  <c r="Y34" i="3"/>
  <c r="Y33" i="3" a="1"/>
  <c r="Y33" i="3"/>
  <c r="H30" i="3"/>
  <c r="H37" i="5"/>
  <c r="H36" i="5"/>
  <c r="H48" i="3"/>
  <c r="H47" i="3"/>
  <c r="H46" i="3"/>
  <c r="H45" i="3"/>
  <c r="H44" i="3"/>
  <c r="H43" i="3"/>
  <c r="H42" i="3"/>
  <c r="H41" i="3"/>
  <c r="H40" i="3"/>
  <c r="I37" i="5"/>
  <c r="AO37" i="5" s="1"/>
  <c r="I36" i="5"/>
  <c r="AO36" i="5" s="1"/>
  <c r="I48" i="3"/>
  <c r="AO48" i="3" s="1"/>
  <c r="I47" i="3"/>
  <c r="AO47" i="3" s="1"/>
  <c r="I46" i="3"/>
  <c r="AO46" i="3" s="1"/>
  <c r="I45" i="3"/>
  <c r="AO45" i="3" s="1"/>
  <c r="I44" i="3"/>
  <c r="AO44" i="3" s="1"/>
  <c r="I43" i="3"/>
  <c r="AO43" i="3" s="1"/>
  <c r="I42" i="3"/>
  <c r="AO42" i="3" s="1"/>
  <c r="I41" i="3"/>
  <c r="AO41" i="3" s="1"/>
  <c r="I40" i="3"/>
  <c r="AO40" i="3" s="1"/>
  <c r="AE2" i="5"/>
  <c r="AE4" i="3"/>
  <c r="AE3" i="3"/>
  <c r="AE2" i="3"/>
  <c r="F37" i="5"/>
  <c r="F36" i="5"/>
  <c r="F48" i="3"/>
  <c r="F47" i="3"/>
  <c r="F46" i="3"/>
  <c r="F45" i="3"/>
  <c r="F44" i="3"/>
  <c r="F43" i="3"/>
  <c r="F42" i="3"/>
  <c r="F41" i="3"/>
  <c r="F40" i="3"/>
  <c r="L31" i="5"/>
  <c r="AS31" i="5"/>
  <c r="L35" i="3"/>
  <c r="L34" i="3"/>
  <c r="L33" i="3"/>
  <c r="AS35" i="3"/>
  <c r="AS34" i="3"/>
  <c r="AS33" i="3"/>
  <c r="I30" i="3"/>
  <c r="H2" i="5"/>
  <c r="H4" i="3"/>
  <c r="H3" i="3"/>
  <c r="H2" i="3"/>
  <c r="AM30" i="3"/>
  <c r="AO30" i="3"/>
  <c r="AM37" i="5"/>
  <c r="AM36" i="5"/>
  <c r="AM48" i="3"/>
  <c r="AM47" i="3"/>
  <c r="AM46" i="3"/>
  <c r="AM45" i="3"/>
  <c r="AM44" i="3"/>
  <c r="AM43" i="3"/>
  <c r="AM42" i="3"/>
  <c r="AM41" i="3"/>
  <c r="AM40" i="3"/>
  <c r="V37" i="3" a="1"/>
  <c r="V37" i="3"/>
  <c r="V36" i="3" a="1"/>
  <c r="V36" i="3"/>
  <c r="AK37" i="5" a="1"/>
  <c r="AK37" i="5"/>
  <c r="AK36" i="5" a="1"/>
  <c r="AK36" i="5"/>
  <c r="AK48" i="3" a="1"/>
  <c r="AK48" i="3"/>
  <c r="AK47" i="3" a="1"/>
  <c r="AK47" i="3"/>
  <c r="AK46" i="3" a="1"/>
  <c r="AK46" i="3"/>
  <c r="AK45" i="3" a="1"/>
  <c r="AK45" i="3"/>
  <c r="AK44" i="3" a="1"/>
  <c r="AK44" i="3"/>
  <c r="AK43" i="3" a="1"/>
  <c r="AK43" i="3"/>
  <c r="AK42" i="3" a="1"/>
  <c r="AK42" i="3"/>
  <c r="AK41" i="3" a="1"/>
  <c r="AK41" i="3"/>
  <c r="AK40" i="3" a="1"/>
  <c r="AK40" i="3"/>
  <c r="I31" i="5"/>
  <c r="I35" i="3"/>
  <c r="I34" i="3"/>
  <c r="I33" i="3"/>
  <c r="Q37" i="5"/>
  <c r="Q36" i="5"/>
  <c r="Q48" i="3"/>
  <c r="Q47" i="3"/>
  <c r="Q46" i="3"/>
  <c r="Q45" i="3"/>
  <c r="Q44" i="3"/>
  <c r="Q43" i="3"/>
  <c r="Q42" i="3"/>
  <c r="Q41" i="3"/>
  <c r="Q40" i="3"/>
  <c r="Y2" i="5" a="1"/>
  <c r="Y2" i="5"/>
  <c r="Y4" i="3" a="1"/>
  <c r="Y4" i="3"/>
  <c r="Y3" i="3" a="1"/>
  <c r="Y3" i="3"/>
  <c r="Y2" i="3" a="1"/>
  <c r="Y2" i="3"/>
  <c r="F37" i="3"/>
  <c r="F36" i="3"/>
  <c r="L30" i="3"/>
  <c r="V37" i="5" a="1"/>
  <c r="V37" i="5"/>
  <c r="V36" i="5" a="1"/>
  <c r="V36" i="5"/>
  <c r="V48" i="3" a="1"/>
  <c r="V48" i="3"/>
  <c r="V47" i="3" a="1"/>
  <c r="V47" i="3"/>
  <c r="V46" i="3" a="1"/>
  <c r="V46" i="3"/>
  <c r="V45" i="3" a="1"/>
  <c r="V45" i="3"/>
  <c r="V44" i="3" a="1"/>
  <c r="V44" i="3"/>
  <c r="V43" i="3" a="1"/>
  <c r="V43" i="3"/>
  <c r="V42" i="3" a="1"/>
  <c r="V42" i="3"/>
  <c r="V41" i="3" a="1"/>
  <c r="V41" i="3"/>
  <c r="V40" i="3" a="1"/>
  <c r="V40" i="3"/>
  <c r="F30" i="3"/>
  <c r="AA30" i="3" a="1"/>
  <c r="AA30" i="3"/>
  <c r="AK2" i="5" a="1"/>
  <c r="AK2" i="5"/>
  <c r="AK4" i="3" a="1"/>
  <c r="AK4" i="3"/>
  <c r="AK3" i="3" a="1"/>
  <c r="AK3" i="3"/>
  <c r="AK2" i="3" a="1"/>
  <c r="AK2" i="3"/>
  <c r="Y30" i="3" a="1"/>
  <c r="Y30" i="3"/>
  <c r="AK30" i="3" a="1"/>
  <c r="AK30" i="3"/>
  <c r="E2" i="5"/>
  <c r="E4" i="3"/>
  <c r="E3" i="3"/>
  <c r="E2" i="3"/>
  <c r="Y37" i="3" a="1"/>
  <c r="Y37" i="3"/>
  <c r="Y36" i="3" a="1"/>
  <c r="Y36" i="3"/>
  <c r="K37" i="3"/>
  <c r="K36" i="3"/>
  <c r="Z37" i="3" a="1"/>
  <c r="Z37" i="3"/>
  <c r="Z36" i="3" a="1"/>
  <c r="Z36" i="3"/>
  <c r="AS2" i="5"/>
  <c r="AS4" i="3"/>
  <c r="AS3" i="3"/>
  <c r="AS2" i="3"/>
  <c r="E37" i="3"/>
  <c r="E36" i="3"/>
  <c r="V31" i="5" a="1"/>
  <c r="V31" i="5"/>
  <c r="V35" i="3" a="1"/>
  <c r="V35" i="3"/>
  <c r="V34" i="3" a="1"/>
  <c r="V34" i="3"/>
  <c r="V33" i="3" a="1"/>
  <c r="V33" i="3"/>
  <c r="AK31" i="5" a="1"/>
  <c r="AK31" i="5"/>
  <c r="AK35" i="3" a="1"/>
  <c r="AK35" i="3"/>
  <c r="AK34" i="3" a="1"/>
  <c r="AK34" i="3"/>
  <c r="AK33" i="3" a="1"/>
  <c r="AK33" i="3"/>
  <c r="AU37" i="5"/>
  <c r="AU36" i="5"/>
  <c r="AU48" i="3"/>
  <c r="AU47" i="3"/>
  <c r="AU46" i="3"/>
  <c r="AU45" i="3"/>
  <c r="AU44" i="3"/>
  <c r="AU43" i="3"/>
  <c r="AU42" i="3"/>
  <c r="AU41" i="3"/>
  <c r="AU40" i="3"/>
  <c r="AU2" i="5"/>
  <c r="AU4" i="3"/>
  <c r="AU3" i="3"/>
  <c r="AU2" i="3"/>
  <c r="AE30" i="3"/>
  <c r="K37" i="5"/>
  <c r="K36" i="5"/>
  <c r="K48" i="3"/>
  <c r="K47" i="3"/>
  <c r="K46" i="3"/>
  <c r="K45" i="3"/>
  <c r="K44" i="3"/>
  <c r="K43" i="3"/>
  <c r="K42" i="3"/>
  <c r="K41" i="3"/>
  <c r="K40" i="3"/>
  <c r="AD2" i="5"/>
  <c r="AD4" i="3"/>
  <c r="AD3" i="3"/>
  <c r="AD2" i="3"/>
  <c r="Z30" i="3" a="1"/>
  <c r="Z30" i="3"/>
  <c r="AA37" i="5" a="1"/>
  <c r="AA37" i="5"/>
  <c r="AA36" i="5" a="1"/>
  <c r="AA36" i="5"/>
  <c r="AA48" i="3" a="1"/>
  <c r="AA48" i="3"/>
  <c r="AA47" i="3" a="1"/>
  <c r="AA47" i="3"/>
  <c r="AA46" i="3" a="1"/>
  <c r="AA46" i="3"/>
  <c r="AA45" i="3" a="1"/>
  <c r="AA45" i="3"/>
  <c r="AA44" i="3" a="1"/>
  <c r="AA44" i="3"/>
  <c r="AA43" i="3" a="1"/>
  <c r="AA43" i="3"/>
  <c r="AA42" i="3" a="1"/>
  <c r="AA42" i="3"/>
  <c r="AA41" i="3" a="1"/>
  <c r="AA41" i="3"/>
  <c r="AA40" i="3" a="1"/>
  <c r="AA40" i="3"/>
  <c r="N37" i="3"/>
  <c r="N36" i="3"/>
  <c r="H31" i="5"/>
  <c r="H35" i="3"/>
  <c r="H34" i="3"/>
  <c r="H33" i="3"/>
  <c r="W31" i="5" a="1"/>
  <c r="W31" i="5"/>
  <c r="W35" i="3" a="1"/>
  <c r="W35" i="3"/>
  <c r="W34" i="3" a="1"/>
  <c r="W34" i="3"/>
  <c r="W33" i="3" a="1"/>
  <c r="W33" i="3"/>
  <c r="Z31" i="5" a="1"/>
  <c r="Z31" i="5"/>
  <c r="Z35" i="3" a="1"/>
  <c r="Z35" i="3"/>
  <c r="Z34" i="3" a="1"/>
  <c r="Z34" i="3"/>
  <c r="Z33" i="3" a="1"/>
  <c r="Z33" i="3"/>
  <c r="L2" i="5"/>
  <c r="L4" i="3"/>
  <c r="L3" i="3"/>
  <c r="L2" i="3"/>
  <c r="AU30" i="3"/>
  <c r="AE31" i="5"/>
  <c r="AE35" i="3"/>
  <c r="AE34" i="3"/>
  <c r="AE33" i="3"/>
  <c r="AK37" i="3" a="1"/>
  <c r="AK37" i="3"/>
  <c r="AK36" i="3" a="1"/>
  <c r="AK36" i="3"/>
  <c r="W37" i="3" a="1"/>
  <c r="W37" i="3"/>
  <c r="W36" i="3" a="1"/>
  <c r="W36" i="3"/>
  <c r="AU31" i="5"/>
  <c r="AU35" i="3"/>
  <c r="AU34" i="3"/>
  <c r="AU33" i="3"/>
  <c r="AM31" i="5"/>
  <c r="AM35" i="3"/>
  <c r="AM34" i="3"/>
  <c r="AM33" i="3"/>
  <c r="N31" i="5"/>
  <c r="N35" i="3"/>
  <c r="N34" i="3"/>
  <c r="N33" i="3"/>
  <c r="E37" i="5"/>
  <c r="E36" i="5"/>
  <c r="E48" i="3"/>
  <c r="E47" i="3"/>
  <c r="E46" i="3"/>
  <c r="E45" i="3"/>
  <c r="E44" i="3"/>
  <c r="E43" i="3"/>
  <c r="E42" i="3"/>
  <c r="E41" i="3"/>
  <c r="E40" i="3"/>
  <c r="F31" i="5"/>
  <c r="F35" i="3"/>
  <c r="F34" i="3"/>
  <c r="F33" i="3"/>
  <c r="W2" i="5" a="1"/>
  <c r="W2" i="5"/>
  <c r="W4" i="3" a="1"/>
  <c r="W4" i="3"/>
  <c r="W3" i="3" a="1"/>
  <c r="W3" i="3"/>
  <c r="W2" i="3" a="1"/>
  <c r="W2" i="3"/>
  <c r="AE37" i="3"/>
  <c r="AE36" i="3"/>
  <c r="AA2" i="5" a="1"/>
  <c r="AA2" i="5"/>
  <c r="AA4" i="3" a="1"/>
  <c r="AA4" i="3"/>
  <c r="AA3" i="3" a="1"/>
  <c r="AA3" i="3"/>
  <c r="AA2" i="3" a="1"/>
  <c r="AA2" i="3"/>
  <c r="X30" i="3" a="1"/>
  <c r="X30" i="3"/>
  <c r="X2" i="5" a="1"/>
  <c r="X2" i="5"/>
  <c r="X4" i="3" a="1"/>
  <c r="X4" i="3"/>
  <c r="X3" i="3" a="1"/>
  <c r="X3" i="3"/>
  <c r="X2" i="3" a="1"/>
  <c r="X2" i="3"/>
  <c r="E31" i="5"/>
  <c r="E35" i="3"/>
  <c r="E34" i="3"/>
  <c r="E33" i="3"/>
  <c r="F2" i="5"/>
  <c r="F4" i="3"/>
  <c r="F3" i="3"/>
  <c r="F2" i="3"/>
  <c r="AU37" i="3"/>
  <c r="AU36" i="3"/>
  <c r="AO37" i="3"/>
  <c r="AO36" i="3"/>
  <c r="K30" i="3"/>
  <c r="Z37" i="5" a="1"/>
  <c r="Z37" i="5"/>
  <c r="Z36" i="5" a="1"/>
  <c r="Z36" i="5"/>
  <c r="Z48" i="3" a="1"/>
  <c r="Z48" i="3"/>
  <c r="Z47" i="3" a="1"/>
  <c r="Z47" i="3"/>
  <c r="Z46" i="3" a="1"/>
  <c r="Z46" i="3"/>
  <c r="Z45" i="3" a="1"/>
  <c r="Z45" i="3"/>
  <c r="Z44" i="3" a="1"/>
  <c r="Z44" i="3"/>
  <c r="Z43" i="3" a="1"/>
  <c r="Z43" i="3"/>
  <c r="Z42" i="3" a="1"/>
  <c r="Z42" i="3"/>
  <c r="Z41" i="3" a="1"/>
  <c r="Z41" i="3"/>
  <c r="Z40" i="3" a="1"/>
  <c r="Z40" i="3"/>
  <c r="Z2" i="5" a="1"/>
  <c r="Z2" i="5"/>
  <c r="Z4" i="3" a="1"/>
  <c r="Z4" i="3"/>
  <c r="Z3" i="3" a="1"/>
  <c r="Z3" i="3"/>
  <c r="Z2" i="3" a="1"/>
  <c r="Z2" i="3"/>
  <c r="X37" i="5" a="1"/>
  <c r="X37" i="5"/>
  <c r="X36" i="5" a="1"/>
  <c r="X36" i="5"/>
  <c r="X48" i="3" a="1"/>
  <c r="X48" i="3"/>
  <c r="X47" i="3" a="1"/>
  <c r="X47" i="3"/>
  <c r="X46" i="3" a="1"/>
  <c r="X46" i="3"/>
  <c r="X45" i="3" a="1"/>
  <c r="X45" i="3"/>
  <c r="X44" i="3" a="1"/>
  <c r="X44" i="3"/>
  <c r="X43" i="3" a="1"/>
  <c r="X43" i="3"/>
  <c r="X42" i="3" a="1"/>
  <c r="X42" i="3"/>
  <c r="X41" i="3" a="1"/>
  <c r="X41" i="3"/>
  <c r="X40" i="3" a="1"/>
  <c r="X40" i="3"/>
  <c r="E30" i="3"/>
  <c r="X37" i="3" a="1"/>
  <c r="X37" i="3"/>
  <c r="X36" i="3" a="1"/>
  <c r="X36" i="3"/>
  <c r="W37" i="5" a="1"/>
  <c r="W37" i="5"/>
  <c r="W36" i="5" a="1"/>
  <c r="W36" i="5"/>
  <c r="W48" i="3" a="1"/>
  <c r="W48" i="3"/>
  <c r="W47" i="3" a="1"/>
  <c r="W47" i="3"/>
  <c r="W46" i="3" a="1"/>
  <c r="W46" i="3"/>
  <c r="W45" i="3" a="1"/>
  <c r="W45" i="3"/>
  <c r="W44" i="3" a="1"/>
  <c r="W44" i="3"/>
  <c r="W43" i="3" a="1"/>
  <c r="W43" i="3"/>
  <c r="W42" i="3" a="1"/>
  <c r="W42" i="3"/>
  <c r="W41" i="3" a="1"/>
  <c r="W41" i="3"/>
  <c r="W40" i="3" a="1"/>
  <c r="W40" i="3"/>
  <c r="Q37" i="3"/>
  <c r="Q36" i="3"/>
  <c r="L37" i="5"/>
  <c r="L36" i="5"/>
  <c r="AS37" i="5"/>
  <c r="AS36" i="5"/>
  <c r="L48" i="3"/>
  <c r="L47" i="3"/>
  <c r="L46" i="3"/>
  <c r="L45" i="3"/>
  <c r="L44" i="3"/>
  <c r="L43" i="3"/>
  <c r="L42" i="3"/>
  <c r="L41" i="3"/>
  <c r="L40" i="3"/>
  <c r="AS48" i="3"/>
  <c r="AS47" i="3"/>
  <c r="AS46" i="3"/>
  <c r="AS45" i="3"/>
  <c r="AS44" i="3"/>
  <c r="AS43" i="3"/>
  <c r="AS42" i="3"/>
  <c r="AS41" i="3"/>
  <c r="AS40" i="3"/>
  <c r="AE37" i="5"/>
  <c r="AE36" i="5"/>
  <c r="AE48" i="3"/>
  <c r="AE47" i="3"/>
  <c r="AE46" i="3"/>
  <c r="AE45" i="3"/>
  <c r="AE44" i="3"/>
  <c r="AE43" i="3"/>
  <c r="AE42" i="3"/>
  <c r="AE41" i="3"/>
  <c r="AE40" i="3"/>
  <c r="N30" i="3"/>
  <c r="AD37" i="5"/>
  <c r="AD36" i="5"/>
  <c r="AD48" i="3"/>
  <c r="AD47" i="3"/>
  <c r="AD46" i="3"/>
  <c r="AD45" i="3"/>
  <c r="AD44" i="3"/>
  <c r="AD43" i="3"/>
  <c r="AD42" i="3"/>
  <c r="AD41" i="3"/>
  <c r="AD40" i="3"/>
  <c r="Q31" i="5"/>
  <c r="Q35" i="3"/>
  <c r="Q34" i="3"/>
  <c r="Q33" i="3"/>
  <c r="I2" i="5"/>
  <c r="AO2" i="5" s="1"/>
  <c r="I4" i="3"/>
  <c r="AO4" i="3" s="1"/>
  <c r="I3" i="3"/>
  <c r="AO3" i="3" s="1"/>
  <c r="I2" i="3"/>
  <c r="AO2" i="3" s="1"/>
  <c r="W30" i="3" a="1"/>
  <c r="W30" i="3"/>
  <c r="N37" i="5"/>
  <c r="N36" i="5"/>
  <c r="N48" i="3"/>
  <c r="N47" i="3"/>
  <c r="N46" i="3"/>
  <c r="N45" i="3"/>
  <c r="N44" i="3"/>
  <c r="N43" i="3"/>
  <c r="N42" i="3"/>
  <c r="N41" i="3"/>
  <c r="N40" i="3"/>
  <c r="V30" i="3" a="1"/>
  <c r="V30" i="3"/>
  <c r="AD37" i="3"/>
  <c r="AD36" i="3"/>
  <c r="AM37" i="3"/>
  <c r="AM36" i="3"/>
  <c r="AO31" i="5"/>
  <c r="AO35" i="3"/>
  <c r="AO34" i="3"/>
  <c r="AO33" i="3"/>
  <c r="K2" i="5"/>
  <c r="K4" i="3"/>
  <c r="K3" i="3"/>
  <c r="K2" i="3"/>
  <c r="AA37" i="3" a="1"/>
  <c r="AA37" i="3"/>
  <c r="AA36" i="3" a="1"/>
  <c r="AA36" i="3"/>
  <c r="Y37" i="5" a="1"/>
  <c r="Y37" i="5"/>
  <c r="Y36" i="5" a="1"/>
  <c r="Y36" i="5"/>
  <c r="Y48" i="3" a="1"/>
  <c r="Y48" i="3"/>
  <c r="Y47" i="3" a="1"/>
  <c r="Y47" i="3"/>
  <c r="Y46" i="3" a="1"/>
  <c r="Y46" i="3"/>
  <c r="Y45" i="3" a="1"/>
  <c r="Y45" i="3"/>
  <c r="Y44" i="3" a="1"/>
  <c r="Y44" i="3"/>
  <c r="Y43" i="3" a="1"/>
  <c r="Y43" i="3"/>
  <c r="Y42" i="3" a="1"/>
  <c r="Y42" i="3"/>
  <c r="Y41" i="3" a="1"/>
  <c r="Y41" i="3"/>
  <c r="Y40" i="3" a="1"/>
  <c r="Y40" i="3"/>
  <c r="M32" i="5"/>
  <c r="M39" i="3"/>
  <c r="M38" i="3"/>
  <c r="AL12" i="5"/>
  <c r="AL12" i="3"/>
  <c r="AL11" i="3"/>
  <c r="AL30" i="3"/>
  <c r="M6" i="5"/>
  <c r="M6" i="3"/>
  <c r="M5" i="3"/>
  <c r="AL37" i="3"/>
  <c r="AL36" i="3"/>
  <c r="AL30" i="5"/>
  <c r="AL32" i="3"/>
  <c r="AL31" i="3"/>
  <c r="AL19" i="5"/>
  <c r="AL18" i="5"/>
  <c r="AL22" i="3"/>
  <c r="AL21" i="3"/>
  <c r="AL20" i="3"/>
  <c r="AL19" i="3"/>
  <c r="AL18" i="3"/>
  <c r="AL17" i="3"/>
  <c r="AT30" i="3"/>
  <c r="AL25" i="5"/>
  <c r="AL24" i="5"/>
  <c r="AL23" i="5"/>
  <c r="AL22" i="5"/>
  <c r="AL29" i="3"/>
  <c r="AL28" i="3"/>
  <c r="AL27" i="3"/>
  <c r="AL26" i="3"/>
  <c r="AL25" i="3"/>
  <c r="AL24" i="3"/>
  <c r="AL23" i="3"/>
  <c r="AL6" i="5"/>
  <c r="AL6" i="3"/>
  <c r="AL5" i="3"/>
  <c r="M37" i="3"/>
  <c r="M36" i="3"/>
  <c r="AL32" i="5"/>
  <c r="AL39" i="3"/>
  <c r="AL38" i="3"/>
  <c r="M30" i="5"/>
  <c r="M32" i="3"/>
  <c r="M31" i="3"/>
  <c r="AL17" i="5"/>
  <c r="AL16" i="5"/>
  <c r="AL15" i="5"/>
  <c r="AL14" i="5"/>
  <c r="AL13" i="5"/>
  <c r="AL16" i="3"/>
  <c r="AL15" i="3"/>
  <c r="AL14" i="3"/>
  <c r="AL13" i="3"/>
  <c r="AT30" i="5"/>
  <c r="AT32" i="3"/>
  <c r="AT31" i="3"/>
  <c r="M25" i="5"/>
  <c r="M24" i="5"/>
  <c r="M23" i="5"/>
  <c r="M22" i="5"/>
  <c r="M29" i="3"/>
  <c r="M28" i="3"/>
  <c r="M27" i="3"/>
  <c r="M26" i="3"/>
  <c r="M25" i="3"/>
  <c r="M24" i="3"/>
  <c r="M23" i="3"/>
  <c r="M30" i="3"/>
  <c r="M19" i="5"/>
  <c r="M18" i="5"/>
  <c r="M22" i="3"/>
  <c r="M21" i="3"/>
  <c r="M20" i="3"/>
  <c r="M19" i="3"/>
  <c r="M18" i="3"/>
  <c r="M17" i="3"/>
  <c r="AT9" i="5"/>
  <c r="AT8" i="3"/>
  <c r="AT37" i="3"/>
  <c r="AT36" i="3"/>
  <c r="AT25" i="5"/>
  <c r="AT24" i="5"/>
  <c r="AT23" i="5"/>
  <c r="AT22" i="5"/>
  <c r="AT29" i="3"/>
  <c r="AT28" i="3"/>
  <c r="AT27" i="3"/>
  <c r="AT26" i="3"/>
  <c r="AT25" i="3"/>
  <c r="AT24" i="3"/>
  <c r="AT23" i="3"/>
  <c r="M12" i="5"/>
  <c r="M12" i="3"/>
  <c r="M11" i="3"/>
  <c r="AT17" i="5"/>
  <c r="AT16" i="5"/>
  <c r="AT15" i="5"/>
  <c r="AT14" i="5"/>
  <c r="AT13" i="5"/>
  <c r="AT16" i="3"/>
  <c r="AT15" i="3"/>
  <c r="AT14" i="3"/>
  <c r="AT13" i="3"/>
  <c r="AT6" i="5"/>
  <c r="AT6" i="3"/>
  <c r="AT5" i="3"/>
  <c r="AT19" i="5"/>
  <c r="AT18" i="5"/>
  <c r="AT22" i="3"/>
  <c r="AT21" i="3"/>
  <c r="AT20" i="3"/>
  <c r="AT19" i="3"/>
  <c r="AT18" i="3"/>
  <c r="AT17" i="3"/>
  <c r="M17" i="5"/>
  <c r="M16" i="5"/>
  <c r="M15" i="5"/>
  <c r="M14" i="5"/>
  <c r="M13" i="5"/>
  <c r="M16" i="3"/>
  <c r="M15" i="3"/>
  <c r="M14" i="3"/>
  <c r="M13" i="3"/>
  <c r="M9" i="5"/>
  <c r="M8" i="3"/>
  <c r="AL9" i="5"/>
  <c r="AL8" i="3"/>
  <c r="AT32" i="5"/>
  <c r="AT39" i="3"/>
  <c r="AT38" i="3"/>
  <c r="AT12" i="5"/>
  <c r="AT12" i="3"/>
  <c r="AT11" i="3"/>
  <c r="AT31" i="5"/>
  <c r="AT35" i="3"/>
  <c r="AT34" i="3"/>
  <c r="AT33" i="3"/>
  <c r="AL31" i="5"/>
  <c r="AL35" i="3"/>
  <c r="AL34" i="3"/>
  <c r="AL33" i="3"/>
  <c r="AL8" i="5"/>
  <c r="AL7" i="5"/>
  <c r="AL7" i="3"/>
  <c r="M8" i="5"/>
  <c r="M7" i="5"/>
  <c r="M7" i="3"/>
  <c r="AT2" i="5"/>
  <c r="AT4" i="3"/>
  <c r="AT3" i="3"/>
  <c r="AT2" i="3"/>
  <c r="M37" i="5"/>
  <c r="M36" i="5"/>
  <c r="M48" i="3"/>
  <c r="M47" i="3"/>
  <c r="M46" i="3"/>
  <c r="M45" i="3"/>
  <c r="M44" i="3"/>
  <c r="M43" i="3"/>
  <c r="M42" i="3"/>
  <c r="M41" i="3"/>
  <c r="M40" i="3"/>
  <c r="AT37" i="5"/>
  <c r="AT36" i="5"/>
  <c r="AT48" i="3"/>
  <c r="AT47" i="3"/>
  <c r="AT46" i="3"/>
  <c r="AT45" i="3"/>
  <c r="AT44" i="3"/>
  <c r="AT43" i="3"/>
  <c r="AT42" i="3"/>
  <c r="AT41" i="3"/>
  <c r="AT40" i="3"/>
  <c r="M11" i="5"/>
  <c r="M10" i="5"/>
  <c r="M9" i="3"/>
  <c r="M10" i="3"/>
  <c r="AT11" i="5"/>
  <c r="AT10" i="5"/>
  <c r="AT9" i="3"/>
  <c r="AT10" i="3"/>
  <c r="AL2" i="5"/>
  <c r="AL4" i="3"/>
  <c r="AL3" i="3"/>
  <c r="AL2" i="3"/>
  <c r="AL37" i="5"/>
  <c r="AL36" i="5"/>
  <c r="AL48" i="3"/>
  <c r="AL47" i="3"/>
  <c r="AL46" i="3"/>
  <c r="AL45" i="3"/>
  <c r="AL44" i="3"/>
  <c r="AL43" i="3"/>
  <c r="AL42" i="3"/>
  <c r="AL41" i="3"/>
  <c r="AL40" i="3"/>
  <c r="AL11" i="5"/>
  <c r="AL10" i="5"/>
  <c r="AL9" i="3"/>
  <c r="AL10" i="3"/>
  <c r="M2" i="5"/>
  <c r="M4" i="3"/>
  <c r="M3" i="3"/>
  <c r="M2" i="3"/>
  <c r="M31" i="5"/>
  <c r="M35" i="3"/>
  <c r="M34" i="3"/>
  <c r="M33" i="3"/>
  <c r="AT8" i="5"/>
  <c r="AT7" i="5"/>
  <c r="AT7" i="3"/>
  <c r="AJ9" i="3" a="1"/>
  <c r="AJ9" i="3"/>
  <c r="AJ10" i="3" a="1"/>
  <c r="AJ10" i="3"/>
  <c r="AJ6" i="3" a="1"/>
  <c r="AJ6" i="3"/>
  <c r="AJ5" i="3" a="1"/>
  <c r="AJ5" i="3"/>
  <c r="AJ32" i="3" a="1"/>
  <c r="AJ32" i="3"/>
  <c r="AJ31" i="3" a="1"/>
  <c r="AJ31" i="3"/>
  <c r="AJ35" i="3" a="1"/>
  <c r="AJ35" i="3"/>
  <c r="AJ34" i="3" a="1"/>
  <c r="AJ34" i="3"/>
  <c r="AJ33" i="3" a="1"/>
  <c r="AJ33" i="3"/>
  <c r="AJ8" i="3" a="1"/>
  <c r="AJ8" i="3"/>
  <c r="AJ7" i="3" a="1"/>
  <c r="AJ7" i="3"/>
  <c r="AJ39" i="3" a="1"/>
  <c r="AJ39" i="3"/>
  <c r="AJ38" i="3" a="1"/>
  <c r="AJ38" i="3"/>
  <c r="AJ30" i="3" a="1"/>
  <c r="AJ30" i="3"/>
  <c r="AJ16" i="3" a="1"/>
  <c r="AJ16" i="3"/>
  <c r="AJ15" i="3" a="1"/>
  <c r="AJ15" i="3"/>
  <c r="AJ14" i="3" a="1"/>
  <c r="AJ14" i="3"/>
  <c r="AJ13" i="3" a="1"/>
  <c r="AJ13" i="3"/>
  <c r="AJ12" i="3" a="1"/>
  <c r="AJ12" i="3"/>
  <c r="AJ11" i="3" a="1"/>
  <c r="AJ11" i="3"/>
  <c r="AJ4" i="3" a="1"/>
  <c r="AJ4" i="3"/>
  <c r="AJ3" i="3" a="1"/>
  <c r="AJ3" i="3"/>
  <c r="AJ2" i="3" a="1"/>
  <c r="AJ2" i="3"/>
  <c r="AJ36" i="5" a="1"/>
  <c r="AJ36" i="5"/>
  <c r="AJ48" i="3" a="1"/>
  <c r="AJ48" i="3"/>
  <c r="AJ47" i="3" a="1"/>
  <c r="AJ47" i="3"/>
  <c r="AJ46" i="3" a="1"/>
  <c r="AJ46" i="3"/>
  <c r="AJ45" i="3" a="1"/>
  <c r="AJ45" i="3"/>
  <c r="AJ44" i="3" a="1"/>
  <c r="AJ44" i="3"/>
  <c r="AJ43" i="3" a="1"/>
  <c r="AJ43" i="3"/>
  <c r="AJ42" i="3" a="1"/>
  <c r="AJ42" i="3"/>
  <c r="AJ41" i="3" a="1"/>
  <c r="AJ41" i="3"/>
  <c r="AJ40" i="3" a="1"/>
  <c r="AJ40" i="3"/>
  <c r="AJ37" i="3" a="1"/>
  <c r="AJ37" i="3"/>
  <c r="AJ36" i="3" a="1"/>
  <c r="AJ36" i="3"/>
  <c r="AJ29" i="3" a="1"/>
  <c r="AJ29" i="3"/>
  <c r="AJ28" i="3" a="1"/>
  <c r="AJ28" i="3"/>
  <c r="AJ27" i="3" a="1"/>
  <c r="AJ27" i="3"/>
  <c r="AJ26" i="3" a="1"/>
  <c r="AJ26" i="3"/>
  <c r="AJ25" i="3" a="1"/>
  <c r="AJ25" i="3"/>
  <c r="AJ24" i="3" a="1"/>
  <c r="AJ24" i="3"/>
  <c r="AJ23" i="3" a="1"/>
  <c r="AJ23" i="3"/>
  <c r="AJ22" i="3" a="1"/>
  <c r="AJ22" i="3"/>
  <c r="AJ21" i="3" a="1"/>
  <c r="AJ21" i="3"/>
  <c r="AJ20" i="3" a="1"/>
  <c r="AJ20" i="3"/>
  <c r="AJ19" i="3" a="1"/>
  <c r="AJ19" i="3"/>
  <c r="AJ18" i="3" a="1"/>
  <c r="AJ18" i="3"/>
  <c r="AJ17" i="3" a="1"/>
  <c r="AJ17" i="3"/>
  <c r="N5" i="5"/>
  <c r="N4" i="5"/>
  <c r="N3" i="5"/>
  <c r="AM5" i="5"/>
  <c r="H5" i="5"/>
  <c r="AD35" i="5"/>
  <c r="AD34" i="5"/>
  <c r="X5" i="5" a="1"/>
  <c r="X5" i="5"/>
  <c r="I35" i="5"/>
  <c r="I34" i="5"/>
  <c r="Z5" i="5" a="1"/>
  <c r="Z5" i="5"/>
  <c r="W35" i="5" a="1"/>
  <c r="W35" i="5"/>
  <c r="W34" i="5" a="1"/>
  <c r="W34" i="5"/>
  <c r="Z35" i="5" a="1"/>
  <c r="Z35" i="5"/>
  <c r="Z34" i="5" a="1"/>
  <c r="Z34" i="5"/>
  <c r="E35" i="5"/>
  <c r="E34" i="5"/>
  <c r="K5" i="5"/>
  <c r="AM35" i="5"/>
  <c r="AM34" i="5"/>
  <c r="AE5" i="5"/>
  <c r="AO35" i="5"/>
  <c r="AO34" i="5"/>
  <c r="F35" i="5"/>
  <c r="F34" i="5"/>
  <c r="AA35" i="5" a="1"/>
  <c r="AA35" i="5"/>
  <c r="AA34" i="5" a="1"/>
  <c r="AA34" i="5"/>
  <c r="L5" i="5"/>
  <c r="AS5" i="5"/>
  <c r="F5" i="5"/>
  <c r="X35" i="5" a="1"/>
  <c r="X35" i="5"/>
  <c r="X34" i="5" a="1"/>
  <c r="X34" i="5"/>
  <c r="Y35" i="5" a="1"/>
  <c r="Y35" i="5"/>
  <c r="Y34" i="5" a="1"/>
  <c r="Y34" i="5"/>
  <c r="W5" i="5" a="1"/>
  <c r="W5" i="5"/>
  <c r="AU5" i="5"/>
  <c r="I5" i="5"/>
  <c r="AA5" i="5" a="1"/>
  <c r="AA5" i="5"/>
  <c r="Q5" i="5"/>
  <c r="AO5" i="5"/>
  <c r="V35" i="5" a="1"/>
  <c r="V35" i="5"/>
  <c r="V34" i="5" a="1"/>
  <c r="V34" i="5"/>
  <c r="AD5" i="5"/>
  <c r="V5" i="5" a="1"/>
  <c r="V5" i="5"/>
  <c r="AK35" i="5" a="1"/>
  <c r="AK35" i="5"/>
  <c r="AK34" i="5" a="1"/>
  <c r="AK34" i="5"/>
  <c r="Q35" i="5"/>
  <c r="Q34" i="5"/>
  <c r="E5" i="5"/>
  <c r="AE35" i="5"/>
  <c r="AE34" i="5"/>
  <c r="AK5" i="5" a="1"/>
  <c r="AK5" i="5"/>
  <c r="Y5" i="5" a="1"/>
  <c r="Y5" i="5"/>
  <c r="Q28" i="5"/>
  <c r="H27" i="5"/>
  <c r="AM4" i="5"/>
  <c r="AM3" i="5"/>
  <c r="AU27" i="5"/>
  <c r="AM28" i="5"/>
  <c r="Z4" i="5" a="1"/>
  <c r="Z4" i="5"/>
  <c r="Z3" i="5" a="1"/>
  <c r="Z3" i="5"/>
  <c r="AD28" i="5"/>
  <c r="AU28" i="5"/>
  <c r="F4" i="5"/>
  <c r="F3" i="5"/>
  <c r="E28" i="5"/>
  <c r="H4" i="5"/>
  <c r="H3" i="5"/>
  <c r="W29" i="5" a="1"/>
  <c r="W29" i="5"/>
  <c r="K27" i="5"/>
  <c r="F28" i="5"/>
  <c r="Y27" i="5" a="1"/>
  <c r="Y27" i="5"/>
  <c r="X28" i="5" a="1"/>
  <c r="X28" i="5"/>
  <c r="Q4" i="5"/>
  <c r="Q3" i="5"/>
  <c r="F27" i="5"/>
  <c r="W27" i="5" a="1"/>
  <c r="W27" i="5"/>
  <c r="Z29" i="5" a="1"/>
  <c r="Z29" i="5"/>
  <c r="AS4" i="5"/>
  <c r="AS3" i="5"/>
  <c r="AK4" i="5" a="1"/>
  <c r="AK4" i="5"/>
  <c r="AK3" i="5" a="1"/>
  <c r="AK3" i="5"/>
  <c r="E4" i="5"/>
  <c r="E3" i="5"/>
  <c r="AU4" i="5"/>
  <c r="AU3" i="5"/>
  <c r="Y20" i="5" a="1"/>
  <c r="Y20" i="5"/>
  <c r="Q27" i="5"/>
  <c r="E27" i="5"/>
  <c r="AA20" i="5" a="1"/>
  <c r="AA20" i="5"/>
  <c r="AE4" i="5"/>
  <c r="AE3" i="5"/>
  <c r="I27" i="5"/>
  <c r="AO27" i="5" s="1"/>
  <c r="AE27" i="5"/>
  <c r="N27" i="5"/>
  <c r="V29" i="5" a="1"/>
  <c r="V29" i="5"/>
  <c r="N28" i="5"/>
  <c r="Y4" i="5" a="1"/>
  <c r="Y4" i="5"/>
  <c r="Y3" i="5" a="1"/>
  <c r="Y3" i="5"/>
  <c r="I4" i="5"/>
  <c r="AO4" i="5" s="1"/>
  <c r="I3" i="5"/>
  <c r="AO3" i="5" s="1"/>
  <c r="V4" i="5" a="1"/>
  <c r="V4" i="5"/>
  <c r="V3" i="5" a="1"/>
  <c r="V3" i="5"/>
  <c r="Y29" i="5" a="1"/>
  <c r="Y29" i="5"/>
  <c r="K4" i="5"/>
  <c r="K3" i="5"/>
  <c r="X4" i="5" a="1"/>
  <c r="X4" i="5"/>
  <c r="X3" i="5" a="1"/>
  <c r="X3" i="5"/>
  <c r="AS28" i="5"/>
  <c r="X20" i="5" a="1"/>
  <c r="X20" i="5"/>
  <c r="AM27" i="5"/>
  <c r="Z27" i="5" a="1"/>
  <c r="Z27" i="5"/>
  <c r="V28" i="5" a="1"/>
  <c r="V28" i="5"/>
  <c r="H28" i="5"/>
  <c r="L4" i="5"/>
  <c r="L3" i="5"/>
  <c r="L27" i="5"/>
  <c r="AS27" i="5"/>
  <c r="AK27" i="5" a="1"/>
  <c r="AK27" i="5"/>
  <c r="AA27" i="5" a="1"/>
  <c r="AA27" i="5"/>
  <c r="AD27" i="5"/>
  <c r="AA28" i="5" a="1"/>
  <c r="AA28" i="5"/>
  <c r="X29" i="5" a="1"/>
  <c r="X29" i="5"/>
  <c r="AA29" i="5" a="1"/>
  <c r="AA29" i="5"/>
  <c r="W20" i="5" a="1"/>
  <c r="W20" i="5"/>
  <c r="I28" i="5"/>
  <c r="AO28" i="5" s="1"/>
  <c r="X27" i="5" a="1"/>
  <c r="X27" i="5"/>
  <c r="Z28" i="5" a="1"/>
  <c r="Z28" i="5"/>
  <c r="W4" i="5" a="1"/>
  <c r="W4" i="5"/>
  <c r="W3" i="5" a="1"/>
  <c r="W3" i="5"/>
  <c r="AD4" i="5"/>
  <c r="AD3" i="5"/>
  <c r="V27" i="5" a="1"/>
  <c r="V27" i="5"/>
  <c r="AK28" i="5" a="1"/>
  <c r="AK28" i="5"/>
  <c r="Z20" i="5" a="1"/>
  <c r="Z20" i="5"/>
  <c r="K28" i="5"/>
  <c r="AE28" i="5"/>
  <c r="AU29" i="5"/>
  <c r="V20" i="5" a="1"/>
  <c r="V20" i="5"/>
  <c r="Y28" i="5" a="1"/>
  <c r="Y28" i="5"/>
  <c r="W28" i="5" a="1"/>
  <c r="W28" i="5"/>
  <c r="AA4" i="5" a="1"/>
  <c r="AA4" i="5"/>
  <c r="AA3" i="5" a="1"/>
  <c r="AA3" i="5"/>
  <c r="L28" i="5"/>
  <c r="Z21" i="5" a="1"/>
  <c r="Z21" i="5"/>
  <c r="H38" i="5"/>
  <c r="L38" i="5"/>
  <c r="AS38" i="5"/>
  <c r="H26" i="5"/>
  <c r="AK38" i="5" a="1"/>
  <c r="AK38" i="5"/>
  <c r="E38" i="5"/>
  <c r="Y21" i="5" a="1"/>
  <c r="Y21" i="5"/>
  <c r="AA21" i="5" a="1"/>
  <c r="AA21" i="5"/>
  <c r="X21" i="5" a="1"/>
  <c r="X21" i="5"/>
  <c r="X38" i="5" a="1"/>
  <c r="X38" i="5"/>
  <c r="Y33" i="5" a="1"/>
  <c r="Y33" i="5"/>
  <c r="AU38" i="5"/>
  <c r="Y26" i="5" a="1"/>
  <c r="Y26" i="5"/>
  <c r="Z33" i="5" a="1"/>
  <c r="Z33" i="5"/>
  <c r="V21" i="5" a="1"/>
  <c r="V21" i="5"/>
  <c r="F26" i="5"/>
  <c r="X33" i="5" a="1"/>
  <c r="X33" i="5"/>
  <c r="AE26" i="5"/>
  <c r="AA26" i="5" a="1"/>
  <c r="AA26" i="5"/>
  <c r="AD38" i="5"/>
  <c r="AA38" i="5" a="1"/>
  <c r="AA38" i="5"/>
  <c r="AM38" i="5"/>
  <c r="I26" i="5"/>
  <c r="AO26" i="5" s="1"/>
  <c r="V38" i="5" a="1"/>
  <c r="V38" i="5"/>
  <c r="Q38" i="5"/>
  <c r="Z38" i="5" a="1"/>
  <c r="Z38" i="5"/>
  <c r="K38" i="5"/>
  <c r="AS26" i="5"/>
  <c r="F38" i="5"/>
  <c r="W38" i="5" a="1"/>
  <c r="W38" i="5"/>
  <c r="AA33" i="5" a="1"/>
  <c r="AA33" i="5"/>
  <c r="E26" i="5"/>
  <c r="AE38" i="5"/>
  <c r="L26" i="5"/>
  <c r="AU26" i="5"/>
  <c r="AM26" i="5"/>
  <c r="V33" i="5" a="1"/>
  <c r="V33" i="5"/>
  <c r="Z26" i="5" a="1"/>
  <c r="Z26" i="5"/>
  <c r="N26" i="5"/>
  <c r="W33" i="5" a="1"/>
  <c r="W33" i="5"/>
  <c r="X26" i="5" a="1"/>
  <c r="X26" i="5"/>
  <c r="AK26" i="5" a="1"/>
  <c r="AK26" i="5"/>
  <c r="W26" i="5" a="1"/>
  <c r="W26" i="5"/>
  <c r="AD26" i="5"/>
  <c r="N38" i="5"/>
  <c r="W21" i="5" a="1"/>
  <c r="W21" i="5"/>
  <c r="I38" i="5"/>
  <c r="AO38" i="5" s="1"/>
  <c r="Q26" i="5"/>
  <c r="Y38" i="5" a="1"/>
  <c r="Y38" i="5"/>
  <c r="V26" i="5" a="1"/>
  <c r="V26" i="5"/>
  <c r="K26" i="5"/>
  <c r="M38" i="5"/>
  <c r="AT5" i="5"/>
  <c r="AL26" i="5"/>
  <c r="M5" i="5"/>
  <c r="AL38" i="5"/>
  <c r="AL5" i="5"/>
  <c r="M26" i="5"/>
  <c r="AT26" i="5"/>
  <c r="AT38" i="5"/>
  <c r="M35" i="5"/>
  <c r="M34" i="5"/>
  <c r="AL35" i="5"/>
  <c r="AL34" i="5"/>
  <c r="M4" i="5"/>
  <c r="M3" i="5"/>
  <c r="AL4" i="5"/>
  <c r="AL3" i="5"/>
  <c r="AT4" i="5"/>
  <c r="AT3" i="5"/>
  <c r="AT35" i="5"/>
  <c r="AT34" i="5"/>
  <c r="AT28" i="5"/>
  <c r="M28" i="5"/>
  <c r="M27" i="5"/>
  <c r="AT27" i="5"/>
  <c r="AL28" i="5"/>
  <c r="AL27" i="5"/>
  <c r="BG38" i="5"/>
  <c r="AN38" i="5"/>
  <c r="AJ38" i="5" a="1"/>
  <c r="AS35" i="5"/>
  <c r="AS34" i="5"/>
  <c r="H35" i="5"/>
  <c r="AU34" i="5"/>
  <c r="AS29" i="5"/>
  <c r="AK20" i="5" a="1"/>
  <c r="AM20" i="5"/>
  <c r="E20" i="5"/>
  <c r="E29" i="5"/>
  <c r="H21" i="5"/>
  <c r="K21" i="5"/>
  <c r="F33" i="5"/>
  <c r="H34" i="5"/>
  <c r="AE20" i="5"/>
  <c r="AU20" i="5"/>
  <c r="K33" i="5"/>
  <c r="H33" i="5"/>
  <c r="AK21" i="5" a="1"/>
  <c r="N21" i="5"/>
  <c r="AT21" i="5"/>
  <c r="N35" i="5"/>
  <c r="K35" i="5"/>
  <c r="I29" i="5"/>
  <c r="N29" i="5"/>
  <c r="AU21" i="5"/>
  <c r="AS33" i="5"/>
  <c r="Q33" i="5"/>
  <c r="AD21" i="5"/>
  <c r="N34" i="5"/>
  <c r="K34" i="5"/>
  <c r="Q20" i="5"/>
  <c r="AK29" i="5" a="1"/>
  <c r="Q29" i="5"/>
  <c r="K29" i="5"/>
  <c r="F29" i="5"/>
  <c r="AD33" i="5"/>
  <c r="L35" i="5"/>
  <c r="L34" i="5"/>
  <c r="L29" i="5"/>
  <c r="F20" i="5"/>
  <c r="E33" i="5"/>
  <c r="I21" i="5"/>
  <c r="L33" i="5"/>
  <c r="AM29" i="5"/>
  <c r="AD29" i="5"/>
  <c r="AE29" i="5"/>
  <c r="N33" i="5"/>
  <c r="AM21" i="5"/>
  <c r="M33" i="5"/>
  <c r="M29" i="5"/>
  <c r="Q21" i="5"/>
  <c r="K20" i="5"/>
  <c r="AM33" i="5"/>
  <c r="AT33" i="5"/>
  <c r="M21" i="5"/>
  <c r="L21" i="5"/>
  <c r="AL21" i="5"/>
  <c r="AS20" i="5"/>
  <c r="AT29" i="5"/>
  <c r="AD20" i="5"/>
  <c r="H29" i="5"/>
  <c r="AS21" i="5"/>
  <c r="AU35" i="5"/>
  <c r="F21" i="5"/>
  <c r="H20" i="5"/>
  <c r="AK33" i="5" a="1"/>
  <c r="AU33" i="5"/>
  <c r="AL33" i="5"/>
  <c r="L20" i="5"/>
  <c r="I20" i="5"/>
  <c r="AL20" i="5"/>
  <c r="N20" i="5"/>
  <c r="M20" i="5"/>
  <c r="AE21" i="5"/>
  <c r="E21" i="5"/>
  <c r="AE33" i="5"/>
  <c r="AL29" i="5"/>
  <c r="I33" i="5"/>
  <c r="AT20" i="5"/>
  <c r="J38" i="5"/>
  <c r="AK33" i="5" l="1"/>
  <c r="AK29" i="5"/>
  <c r="AK21" i="5"/>
  <c r="AK20" i="5"/>
  <c r="AJ38" i="5"/>
  <c r="AI38" i="5"/>
  <c r="AG38" i="5"/>
  <c r="AO33" i="5"/>
  <c r="AO29" i="5"/>
  <c r="AO20" i="5"/>
  <c r="AO21" i="5"/>
  <c r="AH38" i="5" l="1"/>
  <c r="U38" i="5"/>
  <c r="BG37" i="5"/>
  <c r="R38" i="5"/>
  <c r="AF38" i="5"/>
  <c r="AC38" i="5" l="1"/>
  <c r="T38" i="5"/>
  <c r="AN37" i="5"/>
  <c r="AJ37" i="5" a="1"/>
  <c r="J37" i="5"/>
  <c r="AP38" i="5"/>
  <c r="AJ37" i="5" l="1"/>
  <c r="AI37" i="5"/>
  <c r="AG37" i="5"/>
  <c r="S38" i="5"/>
  <c r="AR38" i="5" l="1"/>
  <c r="AB38" i="5"/>
  <c r="AQ38" i="5"/>
  <c r="AH37" i="5"/>
  <c r="U37" i="5"/>
  <c r="BG36" i="5"/>
  <c r="R37" i="5"/>
  <c r="AF37" i="5"/>
  <c r="AC37" i="5" l="1"/>
  <c r="T37" i="5"/>
  <c r="AN36" i="5"/>
  <c r="J36" i="5"/>
  <c r="AP37" i="5"/>
  <c r="AI36" i="5" l="1"/>
  <c r="AG36" i="5"/>
  <c r="S37" i="5"/>
  <c r="AR37" i="5" l="1"/>
  <c r="AB37" i="5"/>
  <c r="AQ37" i="5"/>
  <c r="AH36" i="5"/>
  <c r="U36" i="5"/>
  <c r="BG35" i="5"/>
  <c r="AF36" i="5"/>
  <c r="R36" i="5"/>
  <c r="AC36" i="5" l="1"/>
  <c r="T36" i="5"/>
  <c r="AP36" i="5"/>
  <c r="AN35" i="5" l="1"/>
  <c r="AJ35" i="5" a="1"/>
  <c r="J35" i="5"/>
  <c r="S36" i="5"/>
  <c r="AR36" i="5" l="1"/>
  <c r="AB36" i="5"/>
  <c r="AQ36" i="5"/>
  <c r="AJ35" i="5"/>
  <c r="AI35" i="5"/>
  <c r="AG35" i="5"/>
  <c r="U35" i="5" l="1"/>
  <c r="AH35" i="5"/>
  <c r="BG34" i="5" l="1"/>
  <c r="R35" i="5"/>
  <c r="AP35" i="5"/>
  <c r="AF35" i="5"/>
  <c r="AC35" i="5" l="1"/>
  <c r="T35" i="5"/>
  <c r="AN34" i="5"/>
  <c r="S35" i="5"/>
  <c r="AJ34" i="5" a="1"/>
  <c r="J34" i="5"/>
  <c r="AJ34" i="5" l="1"/>
  <c r="AR35" i="5"/>
  <c r="AQ35" i="5"/>
  <c r="AB35" i="5"/>
  <c r="AI34" i="5"/>
  <c r="AG34" i="5"/>
  <c r="AH34" i="5" l="1"/>
  <c r="U34" i="5"/>
  <c r="BG33" i="5" l="1"/>
  <c r="AP34" i="5"/>
  <c r="AF34" i="5"/>
  <c r="R34" i="5"/>
  <c r="T34" i="5" l="1"/>
  <c r="AC34" i="5"/>
  <c r="AN33" i="5"/>
  <c r="S34" i="5"/>
  <c r="J33" i="5"/>
  <c r="AR34" i="5" l="1"/>
  <c r="AQ34" i="5"/>
  <c r="AB34" i="5"/>
  <c r="AJ33" i="5" a="1"/>
  <c r="AJ33" i="5" l="1"/>
  <c r="AI33" i="5"/>
  <c r="AG33" i="5"/>
  <c r="AH33" i="5" l="1"/>
  <c r="U33" i="5"/>
  <c r="BG32" i="5"/>
  <c r="AP33" i="5"/>
  <c r="AF33" i="5"/>
  <c r="S33" i="5"/>
  <c r="R33" i="5"/>
  <c r="AQ33" i="5" l="1"/>
  <c r="AR33" i="5"/>
  <c r="AB33" i="5"/>
  <c r="AC33" i="5"/>
  <c r="T33" i="5"/>
  <c r="AN32" i="5"/>
  <c r="AJ32" i="5" a="1"/>
  <c r="J32" i="5"/>
  <c r="AJ32" i="5" l="1"/>
  <c r="AI32" i="5"/>
  <c r="AG32" i="5"/>
  <c r="AH32" i="5" l="1"/>
  <c r="U32" i="5"/>
  <c r="BG31" i="5"/>
  <c r="AP32" i="5"/>
  <c r="AF32" i="5"/>
  <c r="R32" i="5"/>
  <c r="AC32" i="5" l="1"/>
  <c r="T32" i="5"/>
  <c r="AN31" i="5"/>
  <c r="AJ31" i="5" a="1"/>
  <c r="J31" i="5"/>
  <c r="S32" i="5"/>
  <c r="AR32" i="5" l="1"/>
  <c r="AB32" i="5"/>
  <c r="AQ32" i="5"/>
  <c r="AJ31" i="5"/>
  <c r="AI31" i="5"/>
  <c r="AG31" i="5"/>
  <c r="AH31" i="5" l="1"/>
  <c r="U31" i="5"/>
  <c r="BG30" i="5"/>
  <c r="AN30" i="5"/>
  <c r="AJ30" i="5" a="1"/>
  <c r="J30" i="5"/>
  <c r="AF31" i="5"/>
  <c r="R31" i="5"/>
  <c r="AP31" i="5"/>
  <c r="AJ30" i="5" l="1"/>
  <c r="AC31" i="5"/>
  <c r="T31" i="5"/>
  <c r="AI30" i="5"/>
  <c r="AG30" i="5"/>
  <c r="S31" i="5"/>
  <c r="AR31" i="5" l="1"/>
  <c r="AQ31" i="5"/>
  <c r="AB31" i="5"/>
  <c r="AH30" i="5"/>
  <c r="U30" i="5"/>
  <c r="BG29" i="5"/>
  <c r="AP30" i="5"/>
  <c r="AF30" i="5"/>
  <c r="R30" i="5"/>
  <c r="T30" i="5" l="1"/>
  <c r="AC30" i="5"/>
  <c r="AN29" i="5"/>
  <c r="J29" i="5"/>
  <c r="S30" i="5"/>
  <c r="AR30" i="5" l="1"/>
  <c r="AQ30" i="5"/>
  <c r="AB30" i="5"/>
  <c r="AJ29" i="5" a="1"/>
  <c r="AJ29" i="5" l="1"/>
  <c r="AI29" i="5"/>
  <c r="AG29" i="5"/>
  <c r="AH29" i="5" l="1"/>
  <c r="U29" i="5"/>
  <c r="BG28" i="5"/>
  <c r="AN28" i="5"/>
  <c r="AP29" i="5"/>
  <c r="AF29" i="5"/>
  <c r="S29" i="5"/>
  <c r="R29" i="5"/>
  <c r="AJ28" i="5" a="1"/>
  <c r="J28" i="5"/>
  <c r="AJ28" i="5" l="1"/>
  <c r="AQ29" i="5"/>
  <c r="AR29" i="5"/>
  <c r="AB29" i="5"/>
  <c r="AC29" i="5"/>
  <c r="T29" i="5"/>
  <c r="AI28" i="5"/>
  <c r="AG28" i="5"/>
  <c r="U28" i="5" l="1"/>
  <c r="AH28" i="5"/>
  <c r="BG27" i="5"/>
  <c r="AN27" i="5"/>
  <c r="AJ27" i="5" a="1"/>
  <c r="J27" i="5"/>
  <c r="AJ27" i="5" l="1"/>
  <c r="AI27" i="5"/>
  <c r="AG27" i="5"/>
  <c r="R28" i="5"/>
  <c r="AF28" i="5"/>
  <c r="AP28" i="5"/>
  <c r="U27" i="5" l="1"/>
  <c r="AH27" i="5"/>
  <c r="AC28" i="5"/>
  <c r="T28" i="5"/>
  <c r="BG26" i="5"/>
  <c r="AN26" i="5"/>
  <c r="S28" i="5"/>
  <c r="AJ26" i="5" a="1"/>
  <c r="J26" i="5"/>
  <c r="AJ26" i="5" l="1"/>
  <c r="AR28" i="5"/>
  <c r="AQ28" i="5"/>
  <c r="AB28" i="5"/>
  <c r="AI26" i="5"/>
  <c r="AG26" i="5"/>
  <c r="AP27" i="5"/>
  <c r="AF27" i="5"/>
  <c r="R27" i="5"/>
  <c r="T27" i="5" l="1"/>
  <c r="AC27" i="5"/>
  <c r="AH26" i="5"/>
  <c r="U26" i="5"/>
  <c r="BG25" i="5"/>
  <c r="S27" i="5"/>
  <c r="AR27" i="5" l="1"/>
  <c r="AQ27" i="5"/>
  <c r="AB27" i="5"/>
  <c r="AF26" i="5"/>
  <c r="R26" i="5"/>
  <c r="AP26" i="5"/>
  <c r="T26" i="5" l="1"/>
  <c r="AC26" i="5"/>
  <c r="AN25" i="5"/>
  <c r="S26" i="5"/>
  <c r="J25" i="5"/>
  <c r="AR26" i="5" l="1"/>
  <c r="AQ26" i="5"/>
  <c r="AB26" i="5"/>
  <c r="AJ25" i="5" a="1"/>
  <c r="AJ25" i="5" l="1"/>
  <c r="AI25" i="5"/>
  <c r="AG25" i="5"/>
  <c r="AH25" i="5" l="1"/>
  <c r="U25" i="5"/>
  <c r="BG24" i="5"/>
  <c r="AP25" i="5"/>
  <c r="R25" i="5"/>
  <c r="AF25" i="5"/>
  <c r="AC25" i="5" l="1"/>
  <c r="T25" i="5"/>
  <c r="AN24" i="5"/>
  <c r="AJ24" i="5" a="1"/>
  <c r="J24" i="5"/>
  <c r="S25" i="5"/>
  <c r="AR25" i="5" l="1"/>
  <c r="AB25" i="5"/>
  <c r="AQ25" i="5"/>
  <c r="AJ24" i="5"/>
  <c r="AI24" i="5"/>
  <c r="AG24" i="5"/>
  <c r="AH24" i="5" l="1"/>
  <c r="U24" i="5"/>
  <c r="BG23" i="5"/>
  <c r="AP24" i="5"/>
  <c r="R24" i="5"/>
  <c r="AF24" i="5"/>
  <c r="AC24" i="5" l="1"/>
  <c r="T24" i="5"/>
  <c r="AN23" i="5"/>
  <c r="AJ23" i="5" a="1"/>
  <c r="J23" i="5"/>
  <c r="S24" i="5"/>
  <c r="AQ24" i="5" l="1"/>
  <c r="AR24" i="5"/>
  <c r="AB24" i="5"/>
  <c r="AJ23" i="5"/>
  <c r="AI23" i="5"/>
  <c r="AG23" i="5"/>
  <c r="AH23" i="5" l="1"/>
  <c r="U23" i="5"/>
  <c r="BG22" i="5"/>
  <c r="AP23" i="5"/>
  <c r="R23" i="5"/>
  <c r="AF23" i="5"/>
  <c r="AC23" i="5" l="1"/>
  <c r="T23" i="5"/>
  <c r="AN22" i="5"/>
  <c r="AJ22" i="5" a="1"/>
  <c r="J22" i="5"/>
  <c r="S23" i="5"/>
  <c r="AQ23" i="5" l="1"/>
  <c r="AR23" i="5"/>
  <c r="AB23" i="5"/>
  <c r="AJ22" i="5"/>
  <c r="AI22" i="5"/>
  <c r="AG22" i="5"/>
  <c r="AH22" i="5" l="1"/>
  <c r="U22" i="5"/>
  <c r="BG21" i="5"/>
  <c r="AF22" i="5"/>
  <c r="AP22" i="5"/>
  <c r="R22" i="5"/>
  <c r="AC22" i="5" l="1"/>
  <c r="T22" i="5"/>
  <c r="AN21" i="5"/>
  <c r="AJ21" i="5" a="1"/>
  <c r="J21" i="5"/>
  <c r="S22" i="5"/>
  <c r="AR22" i="5" l="1"/>
  <c r="AQ22" i="5"/>
  <c r="AB22" i="5"/>
  <c r="AJ21" i="5"/>
  <c r="AI21" i="5"/>
  <c r="AG21" i="5"/>
  <c r="AH21" i="5" l="1"/>
  <c r="U21" i="5"/>
  <c r="BG20" i="5"/>
  <c r="AP21" i="5"/>
  <c r="S21" i="5"/>
  <c r="R21" i="5"/>
  <c r="AF21" i="5"/>
  <c r="AC21" i="5" l="1"/>
  <c r="AR21" i="5"/>
  <c r="AQ21" i="5"/>
  <c r="AB21" i="5"/>
  <c r="T21" i="5"/>
  <c r="AN20" i="5"/>
  <c r="AJ20" i="5" a="1"/>
  <c r="J20" i="5"/>
  <c r="AJ20" i="5" l="1"/>
  <c r="AI20" i="5"/>
  <c r="AG20" i="5"/>
  <c r="AH20" i="5" l="1"/>
  <c r="U20" i="5"/>
  <c r="BG19" i="5"/>
  <c r="AP20" i="5"/>
  <c r="S20" i="5" s="1"/>
  <c r="AF20" i="5"/>
  <c r="R20" i="5"/>
  <c r="AC20" i="5" l="1"/>
  <c r="AR20" i="5"/>
  <c r="AQ20" i="5"/>
  <c r="AB20" i="5"/>
  <c r="T20" i="5"/>
  <c r="AN19" i="5"/>
  <c r="AJ19" i="5" a="1"/>
  <c r="J19" i="5"/>
  <c r="AJ19" i="5" l="1"/>
  <c r="AI19" i="5"/>
  <c r="AG19" i="5"/>
  <c r="AH19" i="5" l="1"/>
  <c r="U19" i="5"/>
  <c r="BG18" i="5"/>
  <c r="R19" i="5"/>
  <c r="AF19" i="5"/>
  <c r="AP19" i="5"/>
  <c r="AC19" i="5" l="1"/>
  <c r="T19" i="5"/>
  <c r="AN18" i="5"/>
  <c r="AJ18" i="5" a="1"/>
  <c r="J18" i="5"/>
  <c r="S19" i="5"/>
  <c r="AQ19" i="5" l="1"/>
  <c r="AR19" i="5"/>
  <c r="AB19" i="5"/>
  <c r="AJ18" i="5"/>
  <c r="AI18" i="5"/>
  <c r="AG18" i="5"/>
  <c r="AH18" i="5" l="1"/>
  <c r="U18" i="5"/>
  <c r="BG17" i="5"/>
  <c r="AF18" i="5"/>
  <c r="R18" i="5"/>
  <c r="AP18" i="5"/>
  <c r="AC18" i="5" l="1"/>
  <c r="T18" i="5"/>
  <c r="AN17" i="5"/>
  <c r="AJ17" i="5" a="1"/>
  <c r="J17" i="5"/>
  <c r="S18" i="5"/>
  <c r="AR18" i="5" l="1"/>
  <c r="AQ18" i="5"/>
  <c r="AB18" i="5"/>
  <c r="AJ17" i="5"/>
  <c r="AI17" i="5"/>
  <c r="AG17" i="5"/>
  <c r="AH17" i="5" l="1"/>
  <c r="U17" i="5"/>
  <c r="BG16" i="5"/>
  <c r="AF17" i="5"/>
  <c r="AP17" i="5"/>
  <c r="R17" i="5"/>
  <c r="AC17" i="5" l="1"/>
  <c r="T17" i="5"/>
  <c r="AN16" i="5"/>
  <c r="AJ16" i="5" a="1"/>
  <c r="J16" i="5"/>
  <c r="S17" i="5"/>
  <c r="AR17" i="5" l="1"/>
  <c r="AQ17" i="5"/>
  <c r="AB17" i="5"/>
  <c r="AJ16" i="5"/>
  <c r="AI16" i="5"/>
  <c r="AG16" i="5"/>
  <c r="AH16" i="5" l="1"/>
  <c r="U16" i="5"/>
  <c r="BG15" i="5"/>
  <c r="R16" i="5"/>
  <c r="AF16" i="5"/>
  <c r="AP16" i="5"/>
  <c r="AC16" i="5" l="1"/>
  <c r="T16" i="5"/>
  <c r="AN15" i="5"/>
  <c r="AJ15" i="5" a="1"/>
  <c r="J15" i="5"/>
  <c r="S16" i="5"/>
  <c r="AR16" i="5" l="1"/>
  <c r="AQ16" i="5"/>
  <c r="AB16" i="5"/>
  <c r="AJ15" i="5"/>
  <c r="AI15" i="5"/>
  <c r="AG15" i="5"/>
  <c r="AH15" i="5" l="1"/>
  <c r="U15" i="5"/>
  <c r="BG14" i="5"/>
  <c r="AF15" i="5"/>
  <c r="AP15" i="5"/>
  <c r="R15" i="5"/>
  <c r="AC15" i="5" l="1"/>
  <c r="T15" i="5"/>
  <c r="AN14" i="5"/>
  <c r="AJ14" i="5" a="1"/>
  <c r="J14" i="5"/>
  <c r="S15" i="5"/>
  <c r="AQ15" i="5" l="1"/>
  <c r="AB15" i="5"/>
  <c r="AR15" i="5"/>
  <c r="AJ14" i="5"/>
  <c r="AI14" i="5"/>
  <c r="AG14" i="5"/>
  <c r="AH14" i="5" l="1"/>
  <c r="U14" i="5"/>
  <c r="BG13" i="5"/>
  <c r="AP14" i="5"/>
  <c r="R14" i="5"/>
  <c r="AF14" i="5"/>
  <c r="AC14" i="5" l="1"/>
  <c r="T14" i="5"/>
  <c r="AN13" i="5"/>
  <c r="AJ13" i="5" a="1"/>
  <c r="J13" i="5"/>
  <c r="S14" i="5"/>
  <c r="AR14" i="5" l="1"/>
  <c r="AQ14" i="5"/>
  <c r="AB14" i="5"/>
  <c r="AJ13" i="5"/>
  <c r="AI13" i="5"/>
  <c r="AG13" i="5"/>
  <c r="AH13" i="5" l="1"/>
  <c r="U13" i="5"/>
  <c r="BG12" i="5"/>
  <c r="AN12" i="5"/>
  <c r="AJ12" i="5" a="1"/>
  <c r="J12" i="5"/>
  <c r="AF13" i="5"/>
  <c r="R13" i="5"/>
  <c r="AP13" i="5"/>
  <c r="AJ12" i="5" l="1"/>
  <c r="AC13" i="5"/>
  <c r="T13" i="5"/>
  <c r="AI12" i="5"/>
  <c r="AG12" i="5"/>
  <c r="S13" i="5"/>
  <c r="AR13" i="5" l="1"/>
  <c r="AQ13" i="5"/>
  <c r="AB13" i="5"/>
  <c r="AH12" i="5"/>
  <c r="U12" i="5"/>
  <c r="BG11" i="5"/>
  <c r="AP12" i="5"/>
  <c r="R12" i="5"/>
  <c r="AF12" i="5"/>
  <c r="T12" i="5" l="1"/>
  <c r="AC12" i="5"/>
  <c r="AN11" i="5"/>
  <c r="J11" i="5"/>
  <c r="S12" i="5"/>
  <c r="AR12" i="5" l="1"/>
  <c r="AQ12" i="5"/>
  <c r="AB12" i="5"/>
  <c r="AJ11" i="5" a="1"/>
  <c r="AJ11" i="5" l="1"/>
  <c r="AI11" i="5"/>
  <c r="AG11" i="5"/>
  <c r="AH11" i="5" l="1"/>
  <c r="U11" i="5"/>
  <c r="BG10" i="5"/>
  <c r="R11" i="5"/>
  <c r="AF11" i="5"/>
  <c r="AP11" i="5"/>
  <c r="AC11" i="5" l="1"/>
  <c r="T11" i="5"/>
  <c r="AN10" i="5"/>
  <c r="AJ10" i="5" a="1"/>
  <c r="J10" i="5"/>
  <c r="S11" i="5"/>
  <c r="AR11" i="5" l="1"/>
  <c r="AB11" i="5"/>
  <c r="AQ11" i="5"/>
  <c r="AJ10" i="5"/>
  <c r="AI10" i="5"/>
  <c r="AG10" i="5"/>
  <c r="AH10" i="5" l="1"/>
  <c r="U10" i="5"/>
  <c r="BG9" i="5"/>
  <c r="AN9" i="5"/>
  <c r="AJ9" i="5" a="1"/>
  <c r="J9" i="5"/>
  <c r="AF10" i="5"/>
  <c r="R10" i="5"/>
  <c r="AP10" i="5"/>
  <c r="AJ9" i="5" l="1"/>
  <c r="AC10" i="5"/>
  <c r="T10" i="5"/>
  <c r="AI9" i="5"/>
  <c r="AG9" i="5"/>
  <c r="S10" i="5"/>
  <c r="AQ10" i="5" l="1"/>
  <c r="AR10" i="5"/>
  <c r="AB10" i="5"/>
  <c r="AH9" i="5"/>
  <c r="U9" i="5"/>
  <c r="BG8" i="5"/>
  <c r="R9" i="5"/>
  <c r="AP9" i="5"/>
  <c r="AF9" i="5"/>
  <c r="T9" i="5" l="1"/>
  <c r="AC9" i="5"/>
  <c r="AN8" i="5"/>
  <c r="J8" i="5"/>
  <c r="S9" i="5"/>
  <c r="AR9" i="5" l="1"/>
  <c r="AQ9" i="5"/>
  <c r="AB9" i="5"/>
  <c r="AJ8" i="5" a="1"/>
  <c r="AJ8" i="5" l="1"/>
  <c r="AI8" i="5"/>
  <c r="AG8" i="5"/>
  <c r="AH8" i="5" l="1"/>
  <c r="U8" i="5"/>
  <c r="BG7" i="5"/>
  <c r="AP8" i="5"/>
  <c r="R8" i="5"/>
  <c r="AF8" i="5"/>
  <c r="AC8" i="5" l="1"/>
  <c r="T8" i="5"/>
  <c r="AN7" i="5"/>
  <c r="AJ7" i="5" a="1"/>
  <c r="J7" i="5"/>
  <c r="S8" i="5"/>
  <c r="AQ8" i="5" l="1"/>
  <c r="AR8" i="5"/>
  <c r="AB8" i="5"/>
  <c r="AJ7" i="5"/>
  <c r="AI7" i="5"/>
  <c r="AG7" i="5"/>
  <c r="AH7" i="5" l="1"/>
  <c r="U7" i="5"/>
  <c r="BG6" i="5"/>
  <c r="AN6" i="5"/>
  <c r="AJ6" i="5" a="1"/>
  <c r="J6" i="5"/>
  <c r="AP7" i="5"/>
  <c r="R7" i="5"/>
  <c r="AF7" i="5"/>
  <c r="AJ6" i="5" l="1"/>
  <c r="AC7" i="5"/>
  <c r="T7" i="5"/>
  <c r="AI6" i="5"/>
  <c r="AG6" i="5"/>
  <c r="S7" i="5"/>
  <c r="AR7" i="5" l="1"/>
  <c r="AQ7" i="5"/>
  <c r="AB7" i="5"/>
  <c r="AH6" i="5"/>
  <c r="U6" i="5"/>
  <c r="BG5" i="5"/>
  <c r="AN5" i="5" l="1"/>
  <c r="AJ5" i="5" a="1"/>
  <c r="J5" i="5"/>
  <c r="AP6" i="5"/>
  <c r="R6" i="5"/>
  <c r="AF6" i="5"/>
  <c r="AJ5" i="5" l="1"/>
  <c r="AC6" i="5"/>
  <c r="T6" i="5"/>
  <c r="AI5" i="5"/>
  <c r="AG5" i="5"/>
  <c r="S6" i="5"/>
  <c r="AQ6" i="5" l="1"/>
  <c r="AR6" i="5"/>
  <c r="AB6" i="5"/>
  <c r="AH5" i="5" l="1"/>
  <c r="U5" i="5"/>
  <c r="BG4" i="5"/>
  <c r="AN4" i="5"/>
  <c r="AJ4" i="5" a="1"/>
  <c r="J4" i="5"/>
  <c r="R5" i="5"/>
  <c r="AF5" i="5"/>
  <c r="AC5" i="5" l="1"/>
  <c r="AJ4" i="5"/>
  <c r="T5" i="5"/>
  <c r="AI4" i="5"/>
  <c r="AG4" i="5"/>
  <c r="AP5" i="5"/>
  <c r="AH4" i="5" l="1"/>
  <c r="U4" i="5"/>
  <c r="BG3" i="5"/>
  <c r="AN3" i="5"/>
  <c r="AJ3" i="5" a="1"/>
  <c r="J3" i="5"/>
  <c r="S5" i="5"/>
  <c r="AR5" i="5" l="1"/>
  <c r="AQ5" i="5"/>
  <c r="AB5" i="5"/>
  <c r="AJ3" i="5"/>
  <c r="AI3" i="5"/>
  <c r="AG3" i="5"/>
  <c r="AP4" i="5"/>
  <c r="R4" i="5"/>
  <c r="AF4" i="5"/>
  <c r="AC4" i="5" l="1"/>
  <c r="T4" i="5"/>
  <c r="AH3" i="5"/>
  <c r="U3" i="5"/>
  <c r="BG2" i="5"/>
  <c r="S4" i="5"/>
  <c r="AR4" i="5" l="1"/>
  <c r="AQ4" i="5"/>
  <c r="AB4" i="5"/>
  <c r="AP3" i="5"/>
  <c r="AF3" i="5"/>
  <c r="R3" i="5"/>
  <c r="T3" i="5" l="1"/>
  <c r="AC3" i="5"/>
  <c r="AN2" i="5"/>
  <c r="S3" i="5"/>
  <c r="AJ2" i="5" a="1"/>
  <c r="J2" i="5"/>
  <c r="AJ2" i="5" l="1"/>
  <c r="AR3" i="5"/>
  <c r="AQ3" i="5"/>
  <c r="AB3" i="5"/>
  <c r="AI2" i="5"/>
  <c r="AG2" i="5"/>
  <c r="U2" i="5" l="1"/>
  <c r="AH2" i="5"/>
  <c r="BG48" i="3" l="1"/>
  <c r="AF2" i="5"/>
  <c r="R2" i="5"/>
  <c r="AP2" i="5"/>
  <c r="T2" i="5" l="1"/>
  <c r="AC2" i="5"/>
  <c r="AN48" i="3"/>
  <c r="J48" i="3"/>
  <c r="S2" i="5"/>
  <c r="AQ2" i="5" l="1"/>
  <c r="AR2" i="5"/>
  <c r="AB2" i="5"/>
  <c r="AI48" i="3" l="1"/>
  <c r="AG48" i="3"/>
  <c r="R48" i="3"/>
  <c r="AP48" i="3"/>
  <c r="AF48" i="3"/>
  <c r="AC48" i="3" l="1"/>
  <c r="AH48" i="3"/>
  <c r="U48" i="3"/>
  <c r="T48" i="3" s="1"/>
  <c r="BG47" i="3"/>
  <c r="S48" i="3"/>
  <c r="AQ48" i="3" l="1"/>
  <c r="AR48" i="3"/>
  <c r="AN47" i="3"/>
  <c r="J47" i="3"/>
  <c r="AI47" i="3" l="1"/>
  <c r="AG47" i="3"/>
  <c r="R47" i="3"/>
  <c r="AP47" i="3"/>
  <c r="AF47" i="3"/>
  <c r="AC47" i="3" l="1"/>
  <c r="AH47" i="3"/>
  <c r="U47" i="3"/>
  <c r="T47" i="3" s="1"/>
  <c r="BG46" i="3"/>
  <c r="S47" i="3"/>
  <c r="AR47" i="3" l="1"/>
  <c r="AQ47" i="3"/>
  <c r="AN46" i="3"/>
  <c r="J46" i="3"/>
  <c r="AI46" i="3" l="1"/>
  <c r="AG46" i="3"/>
  <c r="R46" i="3"/>
  <c r="AP46" i="3"/>
  <c r="AF46" i="3"/>
  <c r="AC46" i="3" l="1"/>
  <c r="AH46" i="3"/>
  <c r="U46" i="3"/>
  <c r="T46" i="3" s="1"/>
  <c r="BG45" i="3"/>
  <c r="S46" i="3"/>
  <c r="AR46" i="3" l="1"/>
  <c r="AQ46" i="3"/>
  <c r="AN45" i="3"/>
  <c r="J45" i="3"/>
  <c r="AI45" i="3" l="1"/>
  <c r="AG45" i="3"/>
  <c r="AF45" i="3"/>
  <c r="AP45" i="3"/>
  <c r="R45" i="3"/>
  <c r="AC45" i="3" l="1"/>
  <c r="AH45" i="3"/>
  <c r="U45" i="3"/>
  <c r="T45" i="3" s="1"/>
  <c r="BG44" i="3"/>
  <c r="S45" i="3"/>
  <c r="AR45" i="3" l="1"/>
  <c r="AQ45" i="3"/>
  <c r="AN44" i="3"/>
  <c r="J44" i="3"/>
  <c r="AI44" i="3" l="1"/>
  <c r="AG44" i="3"/>
  <c r="R44" i="3"/>
  <c r="AP44" i="3"/>
  <c r="AF44" i="3"/>
  <c r="AC44" i="3" l="1"/>
  <c r="AH44" i="3"/>
  <c r="U44" i="3"/>
  <c r="T44" i="3" s="1"/>
  <c r="BG43" i="3"/>
  <c r="S44" i="3"/>
  <c r="AR44" i="3" l="1"/>
  <c r="AQ44" i="3"/>
  <c r="AN43" i="3"/>
  <c r="J43" i="3"/>
  <c r="AI43" i="3" l="1"/>
  <c r="AG43" i="3"/>
  <c r="R43" i="3"/>
  <c r="AP43" i="3"/>
  <c r="AF43" i="3"/>
  <c r="AC43" i="3" l="1"/>
  <c r="AH43" i="3"/>
  <c r="U43" i="3"/>
  <c r="T43" i="3" s="1"/>
  <c r="BG42" i="3"/>
  <c r="S43" i="3"/>
  <c r="AR43" i="3" l="1"/>
  <c r="AQ43" i="3"/>
  <c r="AN42" i="3"/>
  <c r="J42" i="3"/>
  <c r="AI42" i="3" l="1"/>
  <c r="AG42" i="3"/>
  <c r="R42" i="3"/>
  <c r="AP42" i="3"/>
  <c r="AF42" i="3"/>
  <c r="AC42" i="3" l="1"/>
  <c r="AH42" i="3"/>
  <c r="U42" i="3"/>
  <c r="T42" i="3" s="1"/>
  <c r="BG41" i="3"/>
  <c r="S42" i="3"/>
  <c r="AR42" i="3" l="1"/>
  <c r="AQ42" i="3"/>
  <c r="AN41" i="3"/>
  <c r="J41" i="3"/>
  <c r="AI41" i="3" l="1"/>
  <c r="AG41" i="3"/>
  <c r="R41" i="3"/>
  <c r="AP41" i="3"/>
  <c r="AF41" i="3"/>
  <c r="AC41" i="3" l="1"/>
  <c r="AH41" i="3"/>
  <c r="U41" i="3"/>
  <c r="T41" i="3" s="1"/>
  <c r="BG40" i="3"/>
  <c r="S41" i="3"/>
  <c r="AR41" i="3" l="1"/>
  <c r="AQ41" i="3"/>
  <c r="AN40" i="3"/>
  <c r="J40" i="3"/>
  <c r="AI40" i="3" l="1"/>
  <c r="AG40" i="3"/>
  <c r="R40" i="3"/>
  <c r="AP40" i="3"/>
  <c r="AF40" i="3"/>
  <c r="AC40" i="3" l="1"/>
  <c r="AH40" i="3"/>
  <c r="U40" i="3"/>
  <c r="T40" i="3" s="1"/>
  <c r="BG39" i="3"/>
  <c r="S40" i="3"/>
  <c r="AR40" i="3" l="1"/>
  <c r="AQ40" i="3"/>
  <c r="AN39" i="3"/>
  <c r="J39" i="3"/>
  <c r="AI39" i="3" l="1"/>
  <c r="AG39" i="3"/>
  <c r="R39" i="3"/>
  <c r="AP39" i="3"/>
  <c r="AF39" i="3"/>
  <c r="AC39" i="3" l="1"/>
  <c r="AH39" i="3"/>
  <c r="U39" i="3"/>
  <c r="T39" i="3" s="1"/>
  <c r="BG38" i="3"/>
  <c r="S39" i="3"/>
  <c r="AQ39" i="3" l="1"/>
  <c r="AR39" i="3"/>
  <c r="AN38" i="3"/>
  <c r="J38" i="3"/>
  <c r="AI38" i="3" l="1"/>
  <c r="AG38" i="3"/>
  <c r="R38" i="3"/>
  <c r="AF38" i="3"/>
  <c r="AP38" i="3"/>
  <c r="AC38" i="3" l="1"/>
  <c r="AB48" i="3"/>
  <c r="AB47" i="3"/>
  <c r="AB46" i="3"/>
  <c r="AB45" i="3"/>
  <c r="AB44" i="3"/>
  <c r="AB43" i="3"/>
  <c r="AB42" i="3"/>
  <c r="AB41" i="3"/>
  <c r="AB39" i="3"/>
  <c r="AH38" i="3"/>
  <c r="U38" i="3"/>
  <c r="T38" i="3" s="1"/>
  <c r="BG37" i="3"/>
  <c r="BH37" i="3" s="1"/>
  <c r="S38" i="3"/>
  <c r="AQ38" i="3" l="1"/>
  <c r="AR38" i="3"/>
  <c r="AB38" i="3"/>
  <c r="AN37" i="3"/>
  <c r="J37" i="3"/>
  <c r="AI37" i="3" l="1"/>
  <c r="AG37" i="3"/>
  <c r="R37" i="3"/>
  <c r="AP37" i="3"/>
  <c r="AF37" i="3"/>
  <c r="AC37" i="3" l="1"/>
  <c r="AB40" i="3"/>
  <c r="AH37" i="3"/>
  <c r="U37" i="3"/>
  <c r="T37" i="3" s="1"/>
  <c r="BG36" i="3"/>
  <c r="S37" i="3"/>
  <c r="AQ37" i="3" l="1"/>
  <c r="AR37" i="3"/>
  <c r="AB37" i="3"/>
  <c r="AN36" i="3"/>
  <c r="J36" i="3"/>
  <c r="AI36" i="3" l="1"/>
  <c r="AG36" i="3"/>
  <c r="R36" i="3"/>
  <c r="AF36" i="3"/>
  <c r="AP36" i="3"/>
  <c r="AC36" i="3" l="1"/>
  <c r="AH36" i="3"/>
  <c r="U36" i="3"/>
  <c r="T36" i="3" s="1"/>
  <c r="BG35" i="3"/>
  <c r="S36" i="3"/>
  <c r="AR36" i="3" l="1"/>
  <c r="AQ36" i="3"/>
  <c r="AB36" i="3"/>
  <c r="AN35" i="3"/>
  <c r="J35" i="3"/>
  <c r="AI35" i="3" l="1"/>
  <c r="AG35" i="3"/>
  <c r="R35" i="3"/>
  <c r="AP35" i="3"/>
  <c r="AF35" i="3"/>
  <c r="AC35" i="3" l="1"/>
  <c r="AH35" i="3"/>
  <c r="U35" i="3"/>
  <c r="T35" i="3" s="1"/>
  <c r="BG34" i="3"/>
  <c r="BH34" i="3" s="1"/>
  <c r="S35" i="3"/>
  <c r="AR35" i="3" l="1"/>
  <c r="AQ35" i="3"/>
  <c r="AB35" i="3"/>
  <c r="AN34" i="3"/>
  <c r="J34" i="3"/>
  <c r="AI34" i="3" l="1"/>
  <c r="AG34" i="3"/>
  <c r="R34" i="3"/>
  <c r="AF34" i="3"/>
  <c r="AP34" i="3"/>
  <c r="AC34" i="3" l="1"/>
  <c r="AH34" i="3"/>
  <c r="U34" i="3"/>
  <c r="T34" i="3" s="1"/>
  <c r="BG33" i="3"/>
  <c r="S34" i="3"/>
  <c r="AR34" i="3" l="1"/>
  <c r="AQ34" i="3"/>
  <c r="AB34" i="3"/>
  <c r="AN33" i="3"/>
  <c r="J33" i="3"/>
  <c r="AI33" i="3" l="1"/>
  <c r="AG33" i="3"/>
  <c r="R33" i="3"/>
  <c r="AF33" i="3"/>
  <c r="AP33" i="3"/>
  <c r="AC33" i="3" l="1"/>
  <c r="AH33" i="3"/>
  <c r="U33" i="3"/>
  <c r="T33" i="3" s="1"/>
  <c r="BG32" i="3"/>
  <c r="S33" i="3"/>
  <c r="AR33" i="3" l="1"/>
  <c r="AQ33" i="3"/>
  <c r="AB33" i="3"/>
  <c r="AN32" i="3"/>
  <c r="J32" i="3"/>
  <c r="AI32" i="3" l="1"/>
  <c r="AG32" i="3"/>
  <c r="R32" i="3"/>
  <c r="AP32" i="3"/>
  <c r="AF32" i="3"/>
  <c r="AC32" i="3" l="1"/>
  <c r="AH32" i="3"/>
  <c r="U32" i="3"/>
  <c r="T32" i="3" s="1"/>
  <c r="BG31" i="3"/>
  <c r="S32" i="3"/>
  <c r="AR32" i="3" l="1"/>
  <c r="AQ32" i="3"/>
  <c r="AB32" i="3"/>
  <c r="AN31" i="3"/>
  <c r="J31" i="3"/>
  <c r="AI31" i="3" l="1"/>
  <c r="AG31" i="3"/>
  <c r="R31" i="3"/>
  <c r="AP31" i="3"/>
  <c r="AF31" i="3"/>
  <c r="AC31" i="3" l="1"/>
  <c r="AH31" i="3"/>
  <c r="U31" i="3"/>
  <c r="T31" i="3" s="1"/>
  <c r="BG30" i="3"/>
  <c r="S31" i="3"/>
  <c r="AR31" i="3" l="1"/>
  <c r="AQ31" i="3"/>
  <c r="AB31" i="3"/>
  <c r="AN30" i="3"/>
  <c r="J30" i="3"/>
  <c r="AI30" i="3" l="1"/>
  <c r="AG30" i="3"/>
  <c r="R30" i="3"/>
  <c r="AF30" i="3"/>
  <c r="AP30" i="3"/>
  <c r="AC30" i="3" l="1"/>
  <c r="AH30" i="3"/>
  <c r="U30" i="3"/>
  <c r="T30" i="3" s="1"/>
  <c r="BG29" i="3"/>
  <c r="S30" i="3"/>
  <c r="AR30" i="3" l="1"/>
  <c r="AQ30" i="3"/>
  <c r="AB30" i="3"/>
  <c r="AN29" i="3"/>
  <c r="J29" i="3"/>
  <c r="AI29" i="3" l="1"/>
  <c r="AG29" i="3"/>
  <c r="R29" i="3"/>
  <c r="AF29" i="3"/>
  <c r="AP29" i="3"/>
  <c r="AC29" i="3" l="1"/>
  <c r="AH29" i="3"/>
  <c r="U29" i="3"/>
  <c r="T29" i="3" s="1"/>
  <c r="BG28" i="3"/>
  <c r="S29" i="3"/>
  <c r="AR29" i="3" l="1"/>
  <c r="AQ29" i="3"/>
  <c r="AB29" i="3"/>
  <c r="AN28" i="3"/>
  <c r="J28" i="3"/>
  <c r="AI28" i="3" l="1"/>
  <c r="AG28" i="3"/>
  <c r="R28" i="3"/>
  <c r="AP28" i="3"/>
  <c r="AF28" i="3"/>
  <c r="AC28" i="3" l="1"/>
  <c r="AH28" i="3"/>
  <c r="U28" i="3"/>
  <c r="T28" i="3" s="1"/>
  <c r="BG27" i="3"/>
  <c r="BH27" i="3" s="1"/>
  <c r="S28" i="3"/>
  <c r="AR28" i="3" l="1"/>
  <c r="AQ28" i="3"/>
  <c r="AB28" i="3"/>
  <c r="AN27" i="3"/>
  <c r="J27" i="3"/>
  <c r="AI27" i="3" l="1"/>
  <c r="AG27" i="3"/>
  <c r="R27" i="3"/>
  <c r="AP27" i="3"/>
  <c r="AF27" i="3"/>
  <c r="AC27" i="3" l="1"/>
  <c r="AH27" i="3"/>
  <c r="U27" i="3"/>
  <c r="T27" i="3" s="1"/>
  <c r="BG26" i="3"/>
  <c r="S27" i="3"/>
  <c r="AR27" i="3" l="1"/>
  <c r="AQ27" i="3"/>
  <c r="AB27" i="3"/>
  <c r="AN26" i="3"/>
  <c r="J26" i="3"/>
  <c r="AI26" i="3" l="1"/>
  <c r="AG26" i="3"/>
  <c r="R26" i="3"/>
  <c r="AF26" i="3"/>
  <c r="AP26" i="3"/>
  <c r="AC26" i="3" l="1"/>
  <c r="AH26" i="3"/>
  <c r="U26" i="3"/>
  <c r="T26" i="3" s="1"/>
  <c r="BG25" i="3"/>
  <c r="BH25" i="3" s="1"/>
  <c r="S26" i="3"/>
  <c r="AR26" i="3" l="1"/>
  <c r="AQ26" i="3"/>
  <c r="AB26" i="3"/>
  <c r="AN25" i="3"/>
  <c r="J25" i="3"/>
  <c r="AI25" i="3" l="1"/>
  <c r="AG25" i="3"/>
  <c r="R25" i="3"/>
  <c r="AP25" i="3"/>
  <c r="AF25" i="3"/>
  <c r="AC25" i="3" l="1"/>
  <c r="AH25" i="3"/>
  <c r="U25" i="3"/>
  <c r="T25" i="3" s="1"/>
  <c r="BG24" i="3"/>
  <c r="S25" i="3"/>
  <c r="AR25" i="3" l="1"/>
  <c r="AQ25" i="3"/>
  <c r="AB25" i="3"/>
  <c r="AN24" i="3"/>
  <c r="J24" i="3"/>
  <c r="AI24" i="3" l="1"/>
  <c r="AG24" i="3"/>
  <c r="R24" i="3"/>
  <c r="AP24" i="3"/>
  <c r="AF24" i="3"/>
  <c r="AC24" i="3" l="1"/>
  <c r="AH24" i="3"/>
  <c r="U24" i="3"/>
  <c r="T24" i="3" s="1"/>
  <c r="BG23" i="3"/>
  <c r="S24" i="3"/>
  <c r="AR24" i="3" l="1"/>
  <c r="AQ24" i="3"/>
  <c r="AB24" i="3"/>
  <c r="AN23" i="3"/>
  <c r="J23" i="3"/>
  <c r="AI23" i="3" l="1"/>
  <c r="AG23" i="3"/>
  <c r="R23" i="3"/>
  <c r="AP23" i="3"/>
  <c r="AF23" i="3"/>
  <c r="AC23" i="3" l="1"/>
  <c r="AH23" i="3"/>
  <c r="U23" i="3"/>
  <c r="T23" i="3" s="1"/>
  <c r="BG22" i="3"/>
  <c r="S23" i="3"/>
  <c r="AQ23" i="3" l="1"/>
  <c r="AR23" i="3"/>
  <c r="AB23" i="3"/>
  <c r="AN22" i="3"/>
  <c r="J22" i="3"/>
  <c r="AI22" i="3" l="1"/>
  <c r="AG22" i="3"/>
  <c r="R22" i="3"/>
  <c r="AF22" i="3"/>
  <c r="AP22" i="3"/>
  <c r="AC22" i="3" l="1"/>
  <c r="AH22" i="3"/>
  <c r="U22" i="3"/>
  <c r="T22" i="3" s="1"/>
  <c r="BG21" i="3"/>
  <c r="S22" i="3"/>
  <c r="AR22" i="3" l="1"/>
  <c r="AQ22" i="3"/>
  <c r="AB22" i="3"/>
  <c r="AN21" i="3"/>
  <c r="J21" i="3"/>
  <c r="AI21" i="3" l="1"/>
  <c r="AG21" i="3"/>
  <c r="R21" i="3"/>
  <c r="AP21" i="3"/>
  <c r="AF21" i="3"/>
  <c r="AC21" i="3" l="1"/>
  <c r="AH21" i="3"/>
  <c r="U21" i="3"/>
  <c r="T21" i="3" s="1"/>
  <c r="BG20" i="3"/>
  <c r="BH20" i="3" s="1"/>
  <c r="S21" i="3"/>
  <c r="AR21" i="3" l="1"/>
  <c r="AQ21" i="3"/>
  <c r="AB21" i="3"/>
  <c r="AN20" i="3"/>
  <c r="J20" i="3"/>
  <c r="AI20" i="3" l="1"/>
  <c r="AG20" i="3"/>
  <c r="R20" i="3"/>
  <c r="AP20" i="3"/>
  <c r="AF20" i="3"/>
  <c r="AC20" i="3" l="1"/>
  <c r="AH20" i="3"/>
  <c r="U20" i="3"/>
  <c r="T20" i="3" s="1"/>
  <c r="BG19" i="3"/>
  <c r="S20" i="3"/>
  <c r="AQ20" i="3" l="1"/>
  <c r="AR20" i="3"/>
  <c r="AB20" i="3"/>
  <c r="AN19" i="3"/>
  <c r="J19" i="3"/>
  <c r="AI19" i="3" l="1"/>
  <c r="AG19" i="3"/>
  <c r="R19" i="3"/>
  <c r="AP19" i="3"/>
  <c r="AF19" i="3"/>
  <c r="AC19" i="3" l="1"/>
  <c r="AH19" i="3"/>
  <c r="U19" i="3"/>
  <c r="T19" i="3" s="1"/>
  <c r="BG18" i="3"/>
  <c r="S19" i="3"/>
  <c r="AR19" i="3" l="1"/>
  <c r="AQ19" i="3"/>
  <c r="AB19" i="3"/>
  <c r="AN18" i="3"/>
  <c r="J18" i="3"/>
  <c r="AI18" i="3" l="1"/>
  <c r="AG18" i="3"/>
  <c r="R18" i="3"/>
  <c r="AP18" i="3"/>
  <c r="AF18" i="3"/>
  <c r="AC18" i="3" l="1"/>
  <c r="AH18" i="3"/>
  <c r="U18" i="3"/>
  <c r="T18" i="3" s="1"/>
  <c r="BG17" i="3"/>
  <c r="S18" i="3"/>
  <c r="AR18" i="3" l="1"/>
  <c r="AQ18" i="3"/>
  <c r="AB18" i="3"/>
  <c r="AN17" i="3"/>
  <c r="J17" i="3"/>
  <c r="AI17" i="3" l="1"/>
  <c r="AG17" i="3"/>
  <c r="R17" i="3"/>
  <c r="AP17" i="3"/>
  <c r="AF17" i="3"/>
  <c r="AC17" i="3" l="1"/>
  <c r="AH17" i="3"/>
  <c r="U17" i="3"/>
  <c r="T17" i="3" s="1"/>
  <c r="BG16" i="3"/>
  <c r="S17" i="3"/>
  <c r="AR17" i="3" l="1"/>
  <c r="AQ17" i="3"/>
  <c r="AB17" i="3"/>
  <c r="AN16" i="3"/>
  <c r="J16" i="3"/>
  <c r="AI16" i="3" l="1"/>
  <c r="AG16" i="3"/>
  <c r="R16" i="3"/>
  <c r="AP16" i="3"/>
  <c r="AF16" i="3"/>
  <c r="AC16" i="3" l="1"/>
  <c r="AH16" i="3"/>
  <c r="U16" i="3"/>
  <c r="T16" i="3" s="1"/>
  <c r="BG15" i="3"/>
  <c r="BH15" i="3" s="1"/>
  <c r="S16" i="3"/>
  <c r="AQ16" i="3" l="1"/>
  <c r="AR16" i="3"/>
  <c r="AB16" i="3"/>
  <c r="AN15" i="3"/>
  <c r="J15" i="3"/>
  <c r="AI15" i="3" l="1"/>
  <c r="AG15" i="3"/>
  <c r="R15" i="3"/>
  <c r="AP15" i="3"/>
  <c r="AF15" i="3"/>
  <c r="AC15" i="3" l="1"/>
  <c r="AH15" i="3"/>
  <c r="U15" i="3"/>
  <c r="T15" i="3" s="1"/>
  <c r="BG14" i="3"/>
  <c r="S15" i="3"/>
  <c r="AR15" i="3" l="1"/>
  <c r="AQ15" i="3"/>
  <c r="AB15" i="3"/>
  <c r="AN14" i="3"/>
  <c r="J14" i="3"/>
  <c r="AI14" i="3" l="1"/>
  <c r="AG14" i="3"/>
  <c r="R14" i="3"/>
  <c r="AP14" i="3"/>
  <c r="AF14" i="3"/>
  <c r="AC14" i="3" l="1"/>
  <c r="AH14" i="3"/>
  <c r="U14" i="3"/>
  <c r="T14" i="3" s="1"/>
  <c r="BG13" i="3"/>
  <c r="S14" i="3"/>
  <c r="AR14" i="3" l="1"/>
  <c r="AQ14" i="3"/>
  <c r="AB14" i="3"/>
  <c r="AN13" i="3"/>
  <c r="J13" i="3"/>
  <c r="AI13" i="3" l="1"/>
  <c r="AG13" i="3"/>
  <c r="R13" i="3"/>
  <c r="AP13" i="3"/>
  <c r="AF13" i="3"/>
  <c r="AC13" i="3" l="1"/>
  <c r="AH13" i="3"/>
  <c r="U13" i="3"/>
  <c r="T13" i="3" s="1"/>
  <c r="BG12" i="3"/>
  <c r="S13" i="3"/>
  <c r="AR13" i="3" l="1"/>
  <c r="AQ13" i="3"/>
  <c r="AB13" i="3"/>
  <c r="AN12" i="3"/>
  <c r="J12" i="3"/>
  <c r="AI12" i="3" l="1"/>
  <c r="AG12" i="3"/>
  <c r="R12" i="3"/>
  <c r="AP12" i="3"/>
  <c r="AF12" i="3"/>
  <c r="AC12" i="3" l="1"/>
  <c r="AH12" i="3"/>
  <c r="U12" i="3"/>
  <c r="T12" i="3" s="1"/>
  <c r="BG11" i="3"/>
  <c r="S12" i="3"/>
  <c r="AQ12" i="3" l="1"/>
  <c r="AR12" i="3"/>
  <c r="AB12" i="3"/>
  <c r="AN11" i="3"/>
  <c r="J11" i="3"/>
  <c r="AI11" i="3" l="1"/>
  <c r="AG11" i="3"/>
  <c r="R11" i="3"/>
  <c r="AP11" i="3"/>
  <c r="AF11" i="3"/>
  <c r="AC11" i="3" l="1"/>
  <c r="AH11" i="3"/>
  <c r="U11" i="3"/>
  <c r="T11" i="3" s="1"/>
  <c r="BG10" i="3"/>
  <c r="S11" i="3"/>
  <c r="AR11" i="3" l="1"/>
  <c r="AQ11" i="3"/>
  <c r="AB11" i="3"/>
  <c r="AN10" i="3"/>
  <c r="J10" i="3"/>
  <c r="AI10" i="3" l="1"/>
  <c r="AG10" i="3"/>
  <c r="R10" i="3"/>
  <c r="AP10" i="3"/>
  <c r="AF10" i="3"/>
  <c r="AC10" i="3" l="1"/>
  <c r="AH10" i="3"/>
  <c r="U10" i="3"/>
  <c r="T10" i="3" s="1"/>
  <c r="BG9" i="3"/>
  <c r="S10" i="3"/>
  <c r="AR10" i="3" l="1"/>
  <c r="AQ10" i="3"/>
  <c r="AB10" i="3"/>
  <c r="AN9" i="3"/>
  <c r="J9" i="3"/>
  <c r="AI9" i="3" l="1"/>
  <c r="AG9" i="3"/>
  <c r="R9" i="3"/>
  <c r="AP9" i="3"/>
  <c r="AF9" i="3"/>
  <c r="AC9" i="3" l="1"/>
  <c r="AH9" i="3"/>
  <c r="U9" i="3"/>
  <c r="T9" i="3" s="1"/>
  <c r="BG8" i="3"/>
  <c r="S9" i="3"/>
  <c r="AR9" i="3" l="1"/>
  <c r="AQ9" i="3"/>
  <c r="AB9" i="3"/>
  <c r="AN8" i="3"/>
  <c r="J8" i="3"/>
  <c r="AI8" i="3" l="1"/>
  <c r="AG8" i="3"/>
  <c r="R8" i="3"/>
  <c r="AF8" i="3"/>
  <c r="AP8" i="3"/>
  <c r="AC8" i="3" l="1"/>
  <c r="AH8" i="3"/>
  <c r="U8" i="3"/>
  <c r="T8" i="3" s="1"/>
  <c r="BG7" i="3"/>
  <c r="S8" i="3"/>
  <c r="AQ8" i="3" l="1"/>
  <c r="AR8" i="3"/>
  <c r="AB8" i="3"/>
  <c r="AN7" i="3"/>
  <c r="J7" i="3"/>
  <c r="AI7" i="3" l="1"/>
  <c r="AG7" i="3"/>
  <c r="R7" i="3"/>
  <c r="AP7" i="3"/>
  <c r="AF7" i="3"/>
  <c r="AC7" i="3" l="1"/>
  <c r="AH7" i="3"/>
  <c r="U7" i="3"/>
  <c r="T7" i="3" s="1"/>
  <c r="BG6" i="3"/>
  <c r="S7" i="3"/>
  <c r="AR7" i="3" l="1"/>
  <c r="AQ7" i="3"/>
  <c r="AB7" i="3"/>
  <c r="AN6" i="3"/>
  <c r="J6" i="3"/>
  <c r="AI6" i="3" l="1"/>
  <c r="AG6" i="3"/>
  <c r="R6" i="3"/>
  <c r="AP6" i="3"/>
  <c r="AF6" i="3"/>
  <c r="AC6" i="3" l="1"/>
  <c r="AH6" i="3"/>
  <c r="U6" i="3"/>
  <c r="T6" i="3" s="1"/>
  <c r="BG5" i="3"/>
  <c r="S6" i="3"/>
  <c r="AR6" i="3" l="1"/>
  <c r="AQ6" i="3"/>
  <c r="AB6" i="3"/>
  <c r="AN5" i="3"/>
  <c r="J5" i="3"/>
  <c r="AI5" i="3" l="1"/>
  <c r="AG5" i="3"/>
  <c r="R5" i="3"/>
  <c r="AP5" i="3"/>
  <c r="AF5" i="3"/>
  <c r="AC5" i="3" l="1"/>
  <c r="AH5" i="3"/>
  <c r="U5" i="3"/>
  <c r="T5" i="3" s="1"/>
  <c r="BG4" i="3"/>
  <c r="BH4" i="3" s="1"/>
  <c r="S5" i="3"/>
  <c r="AQ5" i="3" l="1"/>
  <c r="AR5" i="3"/>
  <c r="AB5" i="3"/>
  <c r="AN4" i="3"/>
  <c r="J4" i="3"/>
  <c r="AI4" i="3" l="1"/>
  <c r="AG4" i="3"/>
  <c r="R4" i="3"/>
  <c r="AP4" i="3"/>
  <c r="AF4" i="3"/>
  <c r="AC4" i="3" l="1"/>
  <c r="AH4" i="3"/>
  <c r="U4" i="3"/>
  <c r="T4" i="3" s="1"/>
  <c r="BG3" i="3"/>
  <c r="S4" i="3"/>
  <c r="AR4" i="3" l="1"/>
  <c r="AQ4" i="3"/>
  <c r="AB4" i="3"/>
  <c r="AN3" i="3"/>
  <c r="J3" i="3"/>
  <c r="AI3" i="3" l="1"/>
  <c r="AG3" i="3"/>
  <c r="R3" i="3"/>
  <c r="AP3" i="3"/>
  <c r="AF3" i="3"/>
  <c r="AC3" i="3" l="1"/>
  <c r="AH3" i="3"/>
  <c r="U3" i="3"/>
  <c r="T3" i="3" s="1"/>
  <c r="BG2" i="3"/>
  <c r="S3" i="3"/>
  <c r="AR3" i="3" l="1"/>
  <c r="AQ3" i="3"/>
  <c r="AB3" i="3"/>
  <c r="AN2" i="3"/>
  <c r="J2" i="3"/>
  <c r="AI2" i="3" l="1"/>
  <c r="AG2" i="3"/>
  <c r="R2" i="3"/>
  <c r="AF2" i="3"/>
  <c r="AP2" i="3"/>
  <c r="AC2" i="3" l="1"/>
  <c r="AH2" i="3"/>
  <c r="U2" i="3"/>
  <c r="T2" i="3" s="1"/>
  <c r="S2" i="3"/>
  <c r="AR2" i="3" l="1"/>
  <c r="AQ2" i="3"/>
  <c r="AB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<sst xmlns="http://schemas.openxmlformats.org/spreadsheetml/2006/main" count="1135" uniqueCount="197">
  <si>
    <t>Client</t>
  </si>
  <si>
    <t>Account no.</t>
  </si>
  <si>
    <t>Custodian</t>
  </si>
  <si>
    <t>Name</t>
  </si>
  <si>
    <t>Ccy</t>
  </si>
  <si>
    <t>ISIN</t>
  </si>
  <si>
    <t>Moodys / Fitch / S&amp;P</t>
  </si>
  <si>
    <t>Coupon</t>
  </si>
  <si>
    <t>Yld. to Wrst.</t>
  </si>
  <si>
    <t>Rank</t>
  </si>
  <si>
    <t>Maturity</t>
  </si>
  <si>
    <t>Duration</t>
  </si>
  <si>
    <t>Next Call Dt.</t>
  </si>
  <si>
    <t xml:space="preserve">Notional </t>
  </si>
  <si>
    <t>Pur. Price</t>
  </si>
  <si>
    <t>Ind. Bid</t>
  </si>
  <si>
    <t>Pur. Value ($)</t>
  </si>
  <si>
    <t>Mkt. Value + Accrued ($)</t>
  </si>
  <si>
    <t>P/L ($)</t>
  </si>
  <si>
    <t>% P/L</t>
  </si>
  <si>
    <t>Total Return ($)</t>
  </si>
  <si>
    <t>Industry</t>
  </si>
  <si>
    <t>Ind. Ask</t>
  </si>
  <si>
    <t>Notional ($)</t>
  </si>
  <si>
    <t>Purchase Value</t>
  </si>
  <si>
    <t>Market Value</t>
  </si>
  <si>
    <t>ID_ISIN</t>
  </si>
  <si>
    <t>Asset Class</t>
  </si>
  <si>
    <t>Sub Classification</t>
  </si>
  <si>
    <t>Z Spread</t>
  </si>
  <si>
    <t>For YTW Formula</t>
  </si>
  <si>
    <t>Accrued Interest</t>
  </si>
  <si>
    <t>Accrued Interest ($)</t>
  </si>
  <si>
    <t>Market Value ($) ex Accrued</t>
  </si>
  <si>
    <t>Years to Maturity</t>
  </si>
  <si>
    <t>Non-Viability Check</t>
  </si>
  <si>
    <t>Coupon Type</t>
  </si>
  <si>
    <t>LTV</t>
  </si>
  <si>
    <t>PRR</t>
  </si>
  <si>
    <t>Pur. Date</t>
  </si>
  <si>
    <t>FX at the time of pur.</t>
  </si>
  <si>
    <t>Affan Umair Butt</t>
  </si>
  <si>
    <t>0835-3878934-0</t>
  </si>
  <si>
    <t>Credit Suisse</t>
  </si>
  <si>
    <t>USD</t>
  </si>
  <si>
    <t>XS1054250318</t>
  </si>
  <si>
    <t xml:space="preserve"> </t>
  </si>
  <si>
    <t>Dorabelle Limited STD</t>
  </si>
  <si>
    <t>2620512.011</t>
  </si>
  <si>
    <t>LGT Geneva</t>
  </si>
  <si>
    <t>XS2585988145</t>
  </si>
  <si>
    <t>HEPS International</t>
  </si>
  <si>
    <t>4378920</t>
  </si>
  <si>
    <t>Soc Gen</t>
  </si>
  <si>
    <t>XS2755904872</t>
  </si>
  <si>
    <t>XS1575968026</t>
  </si>
  <si>
    <t>XS2608638602</t>
  </si>
  <si>
    <t>Government</t>
  </si>
  <si>
    <t>XS2907245208</t>
  </si>
  <si>
    <t>XS2542166744</t>
  </si>
  <si>
    <t>5</t>
  </si>
  <si>
    <t>Janez Bence</t>
  </si>
  <si>
    <t>0176010</t>
  </si>
  <si>
    <t>XS2577136109</t>
  </si>
  <si>
    <t>Jaskanwar Singh</t>
  </si>
  <si>
    <t>4392470</t>
  </si>
  <si>
    <t>XS3000457666</t>
  </si>
  <si>
    <t>Kalpesh Shah and Mira Shah</t>
  </si>
  <si>
    <t>4379151</t>
  </si>
  <si>
    <t>Konesi Limited</t>
  </si>
  <si>
    <t>2029866.007</t>
  </si>
  <si>
    <t>USY7141BAC73</t>
  </si>
  <si>
    <t>Kundan Choudhary</t>
  </si>
  <si>
    <t>4380430</t>
  </si>
  <si>
    <t>Laka Enterprises Limited</t>
  </si>
  <si>
    <t>2011892.087</t>
  </si>
  <si>
    <t>Napier Hall Trust</t>
  </si>
  <si>
    <t>4382430</t>
  </si>
  <si>
    <t>USY68613AF87</t>
  </si>
  <si>
    <t>Neekash Investment Limited</t>
  </si>
  <si>
    <t>2620031.028</t>
  </si>
  <si>
    <t>XS2302929901</t>
  </si>
  <si>
    <t>Rakhi Bedi - RB</t>
  </si>
  <si>
    <t>US054989AC24</t>
  </si>
  <si>
    <t>XS2747599509</t>
  </si>
  <si>
    <t>Rupal Shah - RS</t>
  </si>
  <si>
    <t>Samitar Limited</t>
  </si>
  <si>
    <t>2620509.02</t>
  </si>
  <si>
    <t>AKCT</t>
  </si>
  <si>
    <t>SocGen</t>
  </si>
  <si>
    <t>XS1750114396</t>
  </si>
  <si>
    <t>USH42097EY93</t>
  </si>
  <si>
    <t xml:space="preserve">0835-2870978-0 </t>
  </si>
  <si>
    <t>FAB UAE</t>
  </si>
  <si>
    <t>XS2975294393</t>
  </si>
  <si>
    <t>Alpha One</t>
  </si>
  <si>
    <t>117302-1</t>
  </si>
  <si>
    <t>Standard Chartered</t>
  </si>
  <si>
    <t>Chianti</t>
  </si>
  <si>
    <t>113656 -1</t>
  </si>
  <si>
    <t>Standard Chartered Bank Singapore</t>
  </si>
  <si>
    <t>GBP</t>
  </si>
  <si>
    <t>XS2866204691</t>
  </si>
  <si>
    <t>GE</t>
  </si>
  <si>
    <t>Soc Gen Geneva</t>
  </si>
  <si>
    <t>GI</t>
  </si>
  <si>
    <t>Credit Agricole</t>
  </si>
  <si>
    <t>US91086QAV05</t>
  </si>
  <si>
    <t>US77586TAE64</t>
  </si>
  <si>
    <t>XS1807299331</t>
  </si>
  <si>
    <t>US83368TBT43</t>
  </si>
  <si>
    <t>LH</t>
  </si>
  <si>
    <t>MAG</t>
  </si>
  <si>
    <t>MHM</t>
  </si>
  <si>
    <t>632309-1</t>
  </si>
  <si>
    <t>MI</t>
  </si>
  <si>
    <t>FAB</t>
  </si>
  <si>
    <t>GB00BPSNBB36</t>
  </si>
  <si>
    <t>XS2322321964</t>
  </si>
  <si>
    <t>Silver Chroma</t>
  </si>
  <si>
    <t>DB</t>
  </si>
  <si>
    <t>GB00BMBL1D50</t>
  </si>
  <si>
    <t>XS2900444139</t>
  </si>
  <si>
    <t xml:space="preserve"> Weight in bond portfolio %</t>
  </si>
  <si>
    <t>Abdallah Amina Ahmad and Abdallah Aisha Ahmed</t>
  </si>
  <si>
    <t>2025141.001</t>
  </si>
  <si>
    <t>Ashkara Limited</t>
  </si>
  <si>
    <t>2620510.015</t>
  </si>
  <si>
    <t>Country of Risk</t>
  </si>
  <si>
    <t>RM</t>
  </si>
  <si>
    <t>1D Price Change</t>
  </si>
  <si>
    <t>5D Price Change</t>
  </si>
  <si>
    <t>1M Price Change</t>
  </si>
  <si>
    <t>3M Price Change</t>
  </si>
  <si>
    <t>6M Price Change</t>
  </si>
  <si>
    <t>YTD</t>
  </si>
  <si>
    <t>Portfolio Wt %</t>
  </si>
  <si>
    <t>KS</t>
  </si>
  <si>
    <t>SYB</t>
  </si>
  <si>
    <t>SS</t>
  </si>
  <si>
    <t>Ticker</t>
  </si>
  <si>
    <t>Geo Focus</t>
  </si>
  <si>
    <t>Strategy</t>
  </si>
  <si>
    <t>Fund Assets ($ Bn)</t>
  </si>
  <si>
    <t>Dvd. Yld. %</t>
  </si>
  <si>
    <t>YTD Price Change</t>
  </si>
  <si>
    <t>TRR 1Y</t>
  </si>
  <si>
    <t>Units</t>
  </si>
  <si>
    <t>Last Price</t>
  </si>
  <si>
    <t>Market Value ($)</t>
  </si>
  <si>
    <t>% P/L (ex. Income)</t>
  </si>
  <si>
    <t>Ind. Dvd p.a. ($)</t>
  </si>
  <si>
    <t xml:space="preserve">Asset Class </t>
  </si>
  <si>
    <t>Asset Class Focus</t>
  </si>
  <si>
    <t>Fund Type</t>
  </si>
  <si>
    <t>Rating Focus</t>
  </si>
  <si>
    <t xml:space="preserve">Inception Date </t>
  </si>
  <si>
    <t>Ann TRR 3Y</t>
  </si>
  <si>
    <t>Ann TRR 5Y</t>
  </si>
  <si>
    <t>Front Load</t>
  </si>
  <si>
    <t>Expense Ratio</t>
  </si>
  <si>
    <t>Current Mgmt Fee</t>
  </si>
  <si>
    <t>Min Investment</t>
  </si>
  <si>
    <t>Sharpe Ratio</t>
  </si>
  <si>
    <t>Sortino Ratio</t>
  </si>
  <si>
    <t>Excess Return</t>
  </si>
  <si>
    <t>Return Beta</t>
  </si>
  <si>
    <t>Return Alpha</t>
  </si>
  <si>
    <t>Share Class</t>
  </si>
  <si>
    <t>BBG IDEAL</t>
  </si>
  <si>
    <t>BBG AMANI</t>
  </si>
  <si>
    <t>ISLAMIC</t>
  </si>
  <si>
    <t>FX at the time of purchase</t>
  </si>
  <si>
    <t>SPDR Bloomberg Barclays 15+ Ye</t>
  </si>
  <si>
    <t>GLTL LN</t>
  </si>
  <si>
    <t>U.K.</t>
  </si>
  <si>
    <t>Fund</t>
  </si>
  <si>
    <t>Fixed Income</t>
  </si>
  <si>
    <t>ETF</t>
  </si>
  <si>
    <t>Investment Grade BBB or higher</t>
  </si>
  <si>
    <t>17/05/2012</t>
  </si>
  <si>
    <t>N</t>
  </si>
  <si>
    <t>GLTL LN Equity</t>
  </si>
  <si>
    <t>IE00B6YX5L24</t>
  </si>
  <si>
    <t>iShares 20+ Year Treasury Bond</t>
  </si>
  <si>
    <t>TLT US</t>
  </si>
  <si>
    <t>U.S.</t>
  </si>
  <si>
    <t>Investment Grade A or higher</t>
  </si>
  <si>
    <t>26/07/2002</t>
  </si>
  <si>
    <t>USD INC</t>
  </si>
  <si>
    <t>TLT US Equity</t>
  </si>
  <si>
    <t>US4642874329</t>
  </si>
  <si>
    <t>Haresh Bhatia</t>
  </si>
  <si>
    <t>2620173.01</t>
  </si>
  <si>
    <t>Multiple</t>
  </si>
  <si>
    <t>Added 3 Jul 24</t>
  </si>
  <si>
    <t>Omni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</si>
</sst>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_ ;\-#,##0\ "/>
    <numFmt numFmtId="165" formatCode="#,##0;\(#,##0\);\-\ ;@"/>
    <numFmt numFmtId="166" formatCode="0.0%;\(0.0%\);\-\ ;@"/>
    <numFmt numFmtId="167" formatCode="#,##0.0000_ ;\-#,##0.0000\ "/>
    <numFmt numFmtId="168" formatCode="0.0%"/>
    <numFmt numFmtId="169" formatCode="mmmm"/>
    <numFmt numFmtId="170" formatCode="0.00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hair">
        <color rgb="FFA5A5A5"/>
      </bottom>
      <diagonal/>
    </border>
    <border>
      <left/>
      <right/>
      <top style="hair">
        <color rgb="FFA5A5A5"/>
      </top>
      <bottom style="hair">
        <color rgb="FFA5A5A5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2" fontId="2" fillId="2" borderId="1" xfId="0" applyNumberFormat="1" applyFont="1" applyFill="1" applyBorder="1" applyAlignment="1">
      <alignment horizontal="left" vertical="top" wrapText="1"/>
    </xf>
    <xf numFmtId="2" fontId="2" fillId="2" borderId="2" xfId="2" applyNumberFormat="1" applyFont="1" applyFill="1" applyBorder="1" applyAlignment="1">
      <alignment horizontal="left" vertical="top" wrapText="1"/>
    </xf>
    <xf numFmtId="2" fontId="2" fillId="2" borderId="1" xfId="2" applyNumberFormat="1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0" fontId="4" fillId="0" borderId="4" xfId="2" applyNumberFormat="1" applyFont="1" applyFill="1" applyBorder="1" applyAlignment="1" applyProtection="1">
      <alignment horizontal="left" vertical="top"/>
      <protection locked="0"/>
    </xf>
    <xf numFmtId="2" fontId="4" fillId="0" borderId="4" xfId="2" applyNumberFormat="1" applyFont="1" applyFill="1" applyBorder="1" applyAlignment="1" applyProtection="1">
      <alignment horizontal="left" vertical="top"/>
      <protection locked="0"/>
    </xf>
    <xf numFmtId="164" fontId="4" fillId="0" borderId="4" xfId="1" applyNumberFormat="1" applyFont="1" applyFill="1" applyBorder="1" applyAlignment="1" applyProtection="1">
      <alignment horizontal="left" vertical="top"/>
      <protection locked="0"/>
    </xf>
    <xf numFmtId="165" fontId="3" fillId="0" borderId="5" xfId="0" applyNumberFormat="1" applyFont="1" applyBorder="1" applyAlignment="1">
      <alignment horizontal="left" vertical="top" wrapText="1"/>
    </xf>
    <xf numFmtId="166" fontId="4" fillId="0" borderId="4" xfId="2" applyNumberFormat="1" applyFont="1" applyFill="1" applyBorder="1" applyAlignment="1" applyProtection="1">
      <alignment horizontal="left" vertical="top"/>
      <protection locked="0"/>
    </xf>
    <xf numFmtId="166" fontId="4" fillId="3" borderId="4" xfId="2" applyNumberFormat="1" applyFont="1" applyFill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/>
      <protection locked="0"/>
    </xf>
    <xf numFmtId="3" fontId="4" fillId="0" borderId="4" xfId="0" applyNumberFormat="1" applyFont="1" applyBorder="1" applyAlignment="1" applyProtection="1">
      <alignment horizontal="left" vertical="top"/>
      <protection locked="0"/>
    </xf>
    <xf numFmtId="2" fontId="4" fillId="0" borderId="4" xfId="0" applyNumberFormat="1" applyFont="1" applyBorder="1" applyAlignment="1" applyProtection="1">
      <alignment horizontal="left" vertical="top"/>
      <protection locked="0"/>
    </xf>
    <xf numFmtId="14" fontId="4" fillId="0" borderId="4" xfId="0" applyNumberFormat="1" applyFont="1" applyBorder="1" applyAlignment="1" applyProtection="1">
      <alignment horizontal="left" vertical="top"/>
      <protection locked="0"/>
    </xf>
    <xf numFmtId="0" fontId="5" fillId="0" borderId="0" xfId="0" applyFont="1" applyAlignment="1">
      <alignment horizontal="left" vertical="top" wrapText="1"/>
    </xf>
    <xf numFmtId="0" fontId="4" fillId="4" borderId="3" xfId="0" applyFont="1" applyFill="1" applyBorder="1" applyAlignment="1" applyProtection="1">
      <alignment horizontal="left" vertical="top"/>
      <protection locked="0"/>
    </xf>
    <xf numFmtId="0" fontId="4" fillId="3" borderId="4" xfId="0" applyFont="1" applyFill="1" applyBorder="1" applyAlignment="1" applyProtection="1">
      <alignment horizontal="left" vertical="top" wrapText="1"/>
      <protection locked="0"/>
    </xf>
    <xf numFmtId="0" fontId="4" fillId="4" borderId="4" xfId="0" applyFont="1" applyFill="1" applyBorder="1" applyAlignment="1" applyProtection="1">
      <alignment horizontal="left" vertical="top" wrapText="1"/>
      <protection locked="0"/>
    </xf>
    <xf numFmtId="4" fontId="4" fillId="3" borderId="4" xfId="0" applyNumberFormat="1" applyFont="1" applyFill="1" applyBorder="1" applyAlignment="1" applyProtection="1">
      <alignment horizontal="left" vertical="top" wrapText="1"/>
      <protection locked="0"/>
    </xf>
    <xf numFmtId="10" fontId="4" fillId="3" borderId="4" xfId="2" applyNumberFormat="1" applyFont="1" applyFill="1" applyBorder="1" applyAlignment="1" applyProtection="1">
      <alignment horizontal="left" vertical="top" wrapText="1"/>
      <protection locked="0"/>
    </xf>
    <xf numFmtId="3" fontId="4" fillId="4" borderId="4" xfId="0" applyNumberFormat="1" applyFont="1" applyFill="1" applyBorder="1" applyAlignment="1" applyProtection="1">
      <alignment horizontal="left" vertical="top" wrapText="1"/>
      <protection locked="0"/>
    </xf>
    <xf numFmtId="2" fontId="4" fillId="4" borderId="4" xfId="0" applyNumberFormat="1" applyFont="1" applyFill="1" applyBorder="1" applyAlignment="1" applyProtection="1">
      <alignment horizontal="left" vertical="top" wrapText="1"/>
      <protection locked="0"/>
    </xf>
    <xf numFmtId="164" fontId="4" fillId="3" borderId="4" xfId="1" applyNumberFormat="1" applyFont="1" applyFill="1" applyBorder="1" applyAlignment="1" applyProtection="1">
      <alignment horizontal="left" vertical="top" wrapText="1"/>
      <protection locked="0"/>
    </xf>
    <xf numFmtId="9" fontId="4" fillId="0" borderId="4" xfId="0" applyNumberFormat="1" applyFont="1" applyBorder="1" applyAlignment="1" applyProtection="1">
      <alignment horizontal="left" vertical="top" wrapText="1"/>
      <protection locked="0"/>
    </xf>
    <xf numFmtId="168" fontId="4" fillId="3" borderId="4" xfId="2" applyNumberFormat="1" applyFont="1" applyFill="1" applyBorder="1" applyAlignment="1" applyProtection="1">
      <alignment horizontal="left" vertical="top" wrapText="1"/>
      <protection locked="0"/>
    </xf>
    <xf numFmtId="4" fontId="4" fillId="3" borderId="4" xfId="2" applyNumberFormat="1" applyFont="1" applyFill="1" applyBorder="1" applyAlignment="1" applyProtection="1">
      <alignment horizontal="left" vertical="top" wrapText="1"/>
      <protection locked="0"/>
    </xf>
    <xf numFmtId="10" fontId="4" fillId="4" borderId="4" xfId="2" applyNumberFormat="1" applyFont="1" applyFill="1" applyBorder="1" applyAlignment="1" applyProtection="1">
      <alignment horizontal="left" vertical="top"/>
      <protection locked="0"/>
    </xf>
    <xf numFmtId="0" fontId="4" fillId="4" borderId="4" xfId="2" applyNumberFormat="1" applyFont="1" applyFill="1" applyBorder="1" applyAlignment="1" applyProtection="1">
      <alignment horizontal="left" vertical="top"/>
      <protection locked="0"/>
    </xf>
    <xf numFmtId="14" fontId="4" fillId="4" borderId="4" xfId="0" applyNumberFormat="1" applyFont="1" applyFill="1" applyBorder="1" applyAlignment="1" applyProtection="1">
      <alignment horizontal="left" vertical="top" wrapText="1"/>
      <protection locked="0"/>
    </xf>
    <xf numFmtId="167" fontId="4" fillId="4" borderId="4" xfId="1" applyNumberFormat="1" applyFont="1" applyFill="1" applyBorder="1" applyAlignment="1" applyProtection="1">
      <alignment horizontal="left" vertical="top" wrapText="1"/>
      <protection locked="0"/>
    </xf>
    <xf numFmtId="0" fontId="4" fillId="4" borderId="4" xfId="0" applyFont="1" applyFill="1" applyBorder="1" applyAlignment="1" applyProtection="1">
      <alignment horizontal="left" vertical="center" wrapText="1"/>
      <protection locked="0"/>
    </xf>
    <xf numFmtId="3" fontId="4" fillId="4" borderId="4" xfId="0" applyNumberFormat="1" applyFont="1" applyFill="1" applyBorder="1" applyAlignment="1" applyProtection="1">
      <alignment horizontal="left" vertical="center" wrapText="1"/>
      <protection locked="0"/>
    </xf>
    <xf numFmtId="2" fontId="4" fillId="4" borderId="4" xfId="0" applyNumberFormat="1" applyFont="1" applyFill="1" applyBorder="1" applyAlignment="1" applyProtection="1">
      <alignment horizontal="left" vertical="center" wrapText="1"/>
      <protection locked="0"/>
    </xf>
    <xf numFmtId="0" fontId="4" fillId="4" borderId="4" xfId="0" applyFont="1" applyFill="1" applyBorder="1" applyAlignment="1" applyProtection="1">
      <alignment horizontal="left" vertical="top"/>
      <protection locked="0"/>
    </xf>
    <xf numFmtId="3" fontId="4" fillId="4" borderId="4" xfId="0" applyNumberFormat="1" applyFont="1" applyFill="1" applyBorder="1" applyAlignment="1" applyProtection="1">
      <alignment horizontal="left" vertical="top"/>
      <protection locked="0"/>
    </xf>
    <xf numFmtId="14" fontId="4" fillId="4" borderId="4" xfId="0" applyNumberFormat="1" applyFont="1" applyFill="1" applyBorder="1" applyAlignment="1" applyProtection="1">
      <alignment horizontal="left" vertical="top"/>
      <protection locked="0"/>
    </xf>
    <xf numFmtId="169" fontId="5" fillId="0" borderId="0" xfId="0" applyNumberFormat="1" applyFont="1" applyAlignment="1">
      <alignment horizontal="left" vertical="top" wrapText="1"/>
    </xf>
    <xf numFmtId="170" fontId="4" fillId="0" borderId="4" xfId="2" applyNumberFormat="1" applyFont="1" applyFill="1" applyBorder="1" applyAlignment="1" applyProtection="1">
      <alignment horizontal="left" vertical="top"/>
      <protection locked="0"/>
    </xf>
  </cellXfs>
  <cellStyles count="3">
    <cellStyle name="Comma" xfId="1" builtinId="3"/>
    <cellStyle name="Normal" xfId="0" builtinId="0"/>
    <cellStyle name="Percent" xfId="2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fgColor theme="0"/>
          <bgColor rgb="FFC6EFCE"/>
        </patternFill>
      </fill>
    </dxf>
    <dxf>
      <font>
        <color rgb="FF9C0006"/>
      </font>
      <fill>
        <patternFill patternType="solid">
          <fgColor theme="0"/>
          <bgColor rgb="FFFFC7CE"/>
        </patternFill>
      </fill>
    </dxf>
    <dxf>
      <font>
        <color rgb="FF006100"/>
      </font>
      <fill>
        <patternFill patternType="solid">
          <fgColor theme="0"/>
          <bgColor rgb="FFC6EFCE"/>
        </patternFill>
      </fill>
    </dxf>
    <dxf>
      <font>
        <color rgb="FF9C0006"/>
      </font>
      <fill>
        <patternFill patternType="solid">
          <fgColor theme="0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fgColor theme="0"/>
          <bgColor rgb="FFC6EFCE"/>
        </patternFill>
      </fill>
    </dxf>
    <dxf>
      <font>
        <color rgb="FF9C0006"/>
      </font>
      <fill>
        <patternFill patternType="solid">
          <fgColor theme="0"/>
          <bgColor rgb="FFFFC7CE"/>
        </patternFill>
      </fill>
    </dxf>
    <dxf>
      <font>
        <color rgb="FF006100"/>
      </font>
      <fill>
        <patternFill patternType="solid">
          <fgColor theme="0"/>
          <bgColor rgb="FFC6EFCE"/>
        </patternFill>
      </fill>
    </dxf>
    <dxf>
      <font>
        <color rgb="FF9C0006"/>
      </font>
      <fill>
        <patternFill patternType="solid">
          <fgColor theme="0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BDP|16827300023559631448</stp>
        <tr r="AS38" s="5"/>
        <tr r="L38" s="5"/>
        <tr r="L38" s="5"/>
      </tp>
      <tp t="e">
        <v>#N/A</v>
        <stp/>
        <stp>BDP|16213381772631959997</stp>
        <tr r="AE20" s="5"/>
      </tp>
      <tp t="e">
        <v>#N/A</v>
        <stp/>
        <stp>BDP|12806313715008055279</stp>
        <tr r="AU38" s="3"/>
        <tr r="AU38" s="3"/>
        <tr r="AU38" s="3"/>
        <tr r="AU39" s="3"/>
        <tr r="AU39" s="3"/>
        <tr r="AU39" s="3"/>
        <tr r="AU32" s="5"/>
        <tr r="AU32" s="5"/>
        <tr r="AU32" s="5"/>
      </tp>
      <tp t="e">
        <v>#N/A</v>
        <stp/>
        <stp>BDP|15876824762243437271</stp>
        <tr r="N7" s="3"/>
        <tr r="N7" s="5"/>
        <tr r="N8" s="5"/>
      </tp>
      <tp t="e">
        <v>#N/A</v>
        <stp/>
        <stp>BDP|15877706126798533207</stp>
        <tr r="AL7" s="3"/>
        <tr r="AL7" s="5"/>
        <tr r="AL8" s="5"/>
      </tp>
      <tp t="e">
        <v>#N/A</v>
        <stp/>
        <stp>BDP|13147192998608349984</stp>
        <tr r="AL21" s="5"/>
      </tp>
      <tp t="e">
        <v>#N/A</v>
        <stp/>
        <stp>BDP|15275587514578173344</stp>
        <tr r="AU7" s="3"/>
        <tr r="AU7" s="3"/>
        <tr r="AU7" s="3"/>
        <tr r="AU7" s="5"/>
        <tr r="AU7" s="5"/>
        <tr r="AU7" s="5"/>
        <tr r="AU8" s="5"/>
        <tr r="AU8" s="5"/>
        <tr r="AU8" s="5"/>
      </tp>
      <tp t="e">
        <v>#N/A</v>
        <stp/>
        <stp>BDP|10681044428020766877</stp>
        <tr r="AA34" s="5"/>
        <tr r="AA35" s="5"/>
      </tp>
      <tp t="e">
        <v>#N/A</v>
        <stp/>
        <stp>BDP|13931912264172617403</stp>
        <tr r="AL17" s="3"/>
        <tr r="AL18" s="3"/>
        <tr r="AL19" s="3"/>
        <tr r="AL20" s="3"/>
        <tr r="AL21" s="3"/>
        <tr r="AL22" s="3"/>
        <tr r="AL18" s="5"/>
        <tr r="AL19" s="5"/>
      </tp>
      <tp t="e">
        <v>#N/A</v>
        <stp/>
        <stp>BDP|13262697221348774507</stp>
        <tr r="X33" s="5"/>
      </tp>
      <tp t="e">
        <v>#N/A</v>
        <stp/>
        <stp>BDP|10227712610174820865</stp>
        <tr r="V38" s="5"/>
      </tp>
      <tp t="e">
        <v>#N/A</v>
        <stp/>
        <stp>BDP|11288391681468097871</stp>
        <tr r="E3" s="5"/>
        <tr r="E4" s="5"/>
      </tp>
      <tp t="e">
        <v>#N/A</v>
        <stp/>
        <stp>BDP|18338136639722077256</stp>
        <tr r="H13" s="3"/>
        <tr r="H13" s="3"/>
        <tr r="H14" s="3"/>
        <tr r="H14" s="3"/>
        <tr r="H15" s="3"/>
        <tr r="H15" s="3"/>
        <tr r="H16" s="3"/>
        <tr r="H16" s="3"/>
        <tr r="H13" s="5"/>
        <tr r="H13" s="5"/>
        <tr r="H14" s="5"/>
        <tr r="H14" s="5"/>
        <tr r="H15" s="5"/>
        <tr r="H15" s="5"/>
        <tr r="H16" s="5"/>
        <tr r="H16" s="5"/>
        <tr r="H17" s="5"/>
        <tr r="H17" s="5"/>
      </tp>
      <tp t="e">
        <v>#N/A</v>
        <stp/>
        <stp>BDP|13585132891862014392</stp>
        <tr r="W27" s="5"/>
      </tp>
      <tp t="e">
        <v>#N/A</v>
        <stp/>
        <stp>BDP|16410725790587624515</stp>
        <tr r="AL30" s="3"/>
      </tp>
      <tp t="e">
        <v>#N/A</v>
        <stp/>
        <stp>BDP|18211055145501355719</stp>
        <tr r="M38" s="5"/>
        <tr r="M38" s="5"/>
      </tp>
      <tp t="e">
        <v>#N/A</v>
        <stp/>
        <stp>BDP|17057523151098372506</stp>
        <tr r="AD28" s="5"/>
      </tp>
      <tp t="e">
        <v>#N/A</v>
        <stp/>
        <stp>BDP|14699039853663132872</stp>
        <tr r="AL36" s="3"/>
        <tr r="AL37" s="3"/>
      </tp>
      <tp t="e">
        <v>#N/A</v>
        <stp/>
        <stp>BDP|11221055881191431201</stp>
        <tr r="F34" s="5"/>
        <tr r="F35" s="5"/>
      </tp>
      <tp t="e">
        <v>#N/A</v>
        <stp/>
        <stp>BDP|14156946014456103047</stp>
        <tr r="K17" s="3"/>
        <tr r="K18" s="3"/>
        <tr r="K19" s="3"/>
        <tr r="K20" s="3"/>
        <tr r="K21" s="3"/>
        <tr r="K22" s="3"/>
        <tr r="K18" s="5"/>
        <tr r="K19" s="5"/>
      </tp>
      <tp t="e">
        <v>#N/A</v>
        <stp/>
        <stp>BDP|14319256691707369236</stp>
        <tr r="N13" s="3"/>
        <tr r="N14" s="3"/>
        <tr r="N15" s="3"/>
        <tr r="N16" s="3"/>
        <tr r="N13" s="5"/>
        <tr r="N14" s="5"/>
        <tr r="N15" s="5"/>
        <tr r="N16" s="5"/>
        <tr r="N17" s="5"/>
      </tp>
      <tp t="e">
        <v>#N/A</v>
        <stp/>
        <stp>BDP|12306383714923181980</stp>
        <tr r="F36" s="3"/>
        <tr r="F37" s="3"/>
      </tp>
      <tp t="e">
        <v>#N/A</v>
        <stp/>
        <stp>BDP|18046757236141712723</stp>
        <tr r="AM3" s="5"/>
        <tr r="AM3" s="5"/>
        <tr r="AM4" s="5"/>
        <tr r="AM4" s="5"/>
      </tp>
      <tp t="e">
        <v>#N/A</v>
        <stp/>
        <stp>BDP|16273462563076903979</stp>
        <tr r="AS29" s="5"/>
        <tr r="L29" s="5"/>
        <tr r="L29" s="5"/>
      </tp>
      <tp t="e">
        <v>#N/A</v>
        <stp/>
        <stp>BDP|11751352652709106587</stp>
        <tr r="Y30" s="3"/>
      </tp>
      <tp t="e">
        <v>#N/A</v>
        <stp/>
        <stp>BDP|13727847329135101700</stp>
        <tr r="Q3" s="5"/>
        <tr r="Q4" s="5"/>
      </tp>
      <tp t="e">
        <v>#N/A</v>
        <stp/>
        <stp>BDP|17790994378323433187</stp>
        <tr r="AD30" s="3"/>
      </tp>
      <tp t="e">
        <v>#N/A</v>
        <stp/>
        <stp>BDP|16816076524509901685</stp>
        <tr r="Z23" s="3"/>
        <tr r="Z24" s="3"/>
        <tr r="Z25" s="3"/>
        <tr r="Z26" s="3"/>
        <tr r="Z27" s="3"/>
        <tr r="Z28" s="3"/>
        <tr r="Z29" s="3"/>
        <tr r="Z22" s="5"/>
        <tr r="Z23" s="5"/>
        <tr r="Z24" s="5"/>
        <tr r="Z25" s="5"/>
      </tp>
      <tp t="e">
        <v>#N/A</v>
        <stp/>
        <stp>BDP|10051491501116687930</stp>
        <tr r="F5" s="5"/>
      </tp>
      <tp t="e">
        <v>#N/A</v>
        <stp/>
        <stp>BDP|12645347088485334751</stp>
        <tr r="AS33" s="3"/>
        <tr r="AS34" s="3"/>
        <tr r="AS35" s="3"/>
        <tr r="AS31" s="5"/>
      </tp>
      <tp t="e">
        <v>#N/A</v>
        <stp/>
        <stp>BDP|17445047539428232759</stp>
        <tr r="AO27" s="5"/>
      </tp>
      <tp t="e">
        <v>#N/A</v>
        <stp/>
        <stp>BDP|17120631774275791805</stp>
        <tr r="AS31" s="3"/>
        <tr r="AS32" s="3"/>
        <tr r="L31" s="3"/>
        <tr r="L31" s="3"/>
        <tr r="L32" s="3"/>
        <tr r="L32" s="3"/>
        <tr r="AS30" s="5"/>
        <tr r="L30" s="5"/>
        <tr r="L30" s="5"/>
      </tp>
      <tp t="e">
        <v>#N/A</v>
        <stp/>
        <stp>BDP|11183804026361351158</stp>
        <tr r="H10" s="3"/>
        <tr r="H10" s="3"/>
        <tr r="H9" s="3"/>
        <tr r="H9" s="3"/>
        <tr r="H10" s="5"/>
        <tr r="H10" s="5"/>
        <tr r="H11" s="5"/>
        <tr r="H11" s="5"/>
      </tp>
      <tp t="e">
        <v>#N/A</v>
        <stp/>
        <stp>BDP|13435458210049590440</stp>
        <tr r="W8" s="3"/>
        <tr r="W9" s="5"/>
      </tp>
      <tp t="e">
        <v>#N/A</v>
        <stp/>
        <stp>BDP|11083468674479502070</stp>
        <tr r="H2" s="3"/>
        <tr r="H2" s="3"/>
        <tr r="H3" s="3"/>
        <tr r="H3" s="3"/>
        <tr r="H4" s="3"/>
        <tr r="H4" s="3"/>
        <tr r="H2" s="5"/>
        <tr r="H2" s="5"/>
      </tp>
      <tp t="e">
        <v>#N/A</v>
        <stp/>
        <stp>BDP|16504347625125607919</stp>
        <tr r="AA13" s="3"/>
        <tr r="AA14" s="3"/>
        <tr r="AA15" s="3"/>
        <tr r="AA16" s="3"/>
        <tr r="AA13" s="5"/>
        <tr r="AA14" s="5"/>
        <tr r="AA15" s="5"/>
        <tr r="AA16" s="5"/>
        <tr r="AA17" s="5"/>
      </tp>
      <tp t="e">
        <v>#N/A</v>
        <stp/>
        <stp>BDP|15320590018602970886</stp>
        <tr r="N3" s="5"/>
        <tr r="N4" s="5"/>
      </tp>
      <tp t="e">
        <v>#N/A</v>
        <stp/>
        <stp>BDP|12948403664558923369</stp>
        <tr r="AK40" s="3"/>
        <tr r="AK40" s="3"/>
        <tr r="AK40" s="3"/>
        <tr r="AK41" s="3"/>
        <tr r="AK41" s="3"/>
        <tr r="AK41" s="3"/>
        <tr r="AK42" s="3"/>
        <tr r="AK42" s="3"/>
        <tr r="AK42" s="3"/>
        <tr r="AK43" s="3"/>
        <tr r="AK43" s="3"/>
        <tr r="AK43" s="3"/>
        <tr r="AK44" s="3"/>
        <tr r="AK44" s="3"/>
        <tr r="AK44" s="3"/>
        <tr r="AK45" s="3"/>
        <tr r="AK45" s="3"/>
        <tr r="AK45" s="3"/>
        <tr r="AK46" s="3"/>
        <tr r="AK46" s="3"/>
        <tr r="AK46" s="3"/>
        <tr r="AK47" s="3"/>
        <tr r="AK47" s="3"/>
        <tr r="AK47" s="3"/>
        <tr r="AK48" s="3"/>
        <tr r="AK48" s="3"/>
        <tr r="AK48" s="3"/>
        <tr r="AK36" s="5"/>
        <tr r="AK36" s="5"/>
        <tr r="AK36" s="5"/>
        <tr r="AK37" s="5"/>
        <tr r="AK37" s="5"/>
        <tr r="AK37" s="5"/>
      </tp>
      <tp t="e">
        <v>#N/A</v>
        <stp/>
        <stp>BDP|12298490692563827753</stp>
        <tr r="AE38" s="3"/>
        <tr r="AE39" s="3"/>
        <tr r="AE32" s="5"/>
      </tp>
      <tp t="e">
        <v>#N/A</v>
        <stp/>
        <stp>BDP|14077912284737187909</stp>
        <tr r="E34" s="5"/>
        <tr r="E35" s="5"/>
      </tp>
      <tp t="e">
        <v>#N/A</v>
        <stp/>
        <stp>BDP|10723683729776040924</stp>
        <tr r="AD11" s="3"/>
        <tr r="AD12" s="3"/>
        <tr r="AD12" s="5"/>
      </tp>
      <tp t="e">
        <v>#N/A</v>
        <stp/>
        <stp>BDP|13751113490009874993</stp>
        <tr r="H2" s="3"/>
        <tr r="H3" s="3"/>
        <tr r="H4" s="3"/>
        <tr r="H2" s="5"/>
      </tp>
      <tp t="e">
        <v>#N/A</v>
        <stp/>
        <stp>BDP|16730781584037506593</stp>
        <tr r="V13" s="3"/>
        <tr r="V14" s="3"/>
        <tr r="V15" s="3"/>
        <tr r="V16" s="3"/>
        <tr r="V13" s="5"/>
        <tr r="V14" s="5"/>
        <tr r="V15" s="5"/>
        <tr r="V16" s="5"/>
        <tr r="V17" s="5"/>
      </tp>
      <tp t="e">
        <v>#N/A</v>
        <stp/>
        <stp>BDP|13900837146694608314</stp>
        <tr r="AU38" s="5"/>
        <tr r="AU38" s="5"/>
        <tr r="AU38" s="5"/>
      </tp>
      <tp t="e">
        <v>#N/A</v>
        <stp/>
        <stp>BDP|15891925374744788735</stp>
        <tr r="H20" s="5"/>
      </tp>
      <tp t="e">
        <v>#N/A</v>
        <stp/>
        <stp>BDP|16647059633689822445</stp>
        <tr r="AK38" s="5"/>
        <tr r="AK38" s="5"/>
        <tr r="AK38" s="5"/>
      </tp>
      <tp t="e">
        <v>#N/A</v>
        <stp/>
        <stp>BDP|11325256807109816264</stp>
        <tr r="H3" s="5"/>
        <tr r="H4" s="5"/>
      </tp>
      <tp t="e">
        <v>#N/A</v>
        <stp/>
        <stp>BDP|16256890663705172573</stp>
        <tr r="AD5" s="3"/>
        <tr r="AD6" s="3"/>
        <tr r="AD6" s="5"/>
      </tp>
      <tp t="s">
        <v>#N/A N/A</v>
        <stp/>
        <stp>BDP|13985933218356323504</stp>
        <tr r="J17" s="3"/>
        <tr r="J18" s="3"/>
        <tr r="J19" s="3"/>
        <tr r="J20" s="3"/>
        <tr r="J21" s="3"/>
        <tr r="J22" s="3"/>
        <tr r="J18" s="5"/>
        <tr r="J19" s="5"/>
      </tp>
      <tp t="e">
        <v>#N/A</v>
        <stp/>
        <stp>BDP|16569270402538016413</stp>
        <tr r="Q23" s="3"/>
        <tr r="Q24" s="3"/>
        <tr r="Q25" s="3"/>
        <tr r="Q26" s="3"/>
        <tr r="Q27" s="3"/>
        <tr r="Q28" s="3"/>
        <tr r="Q29" s="3"/>
        <tr r="Q22" s="5"/>
        <tr r="Q23" s="5"/>
        <tr r="Q24" s="5"/>
        <tr r="Q25" s="5"/>
      </tp>
      <tp t="e">
        <v>#N/A</v>
        <stp/>
        <stp>BDP|13710767511425747860</stp>
        <tr r="Y26" s="5"/>
      </tp>
      <tp t="e">
        <v>#N/A</v>
        <stp/>
        <stp>BDP|14320459186824672471</stp>
        <tr r="F40" s="3"/>
        <tr r="F41" s="3"/>
        <tr r="F42" s="3"/>
        <tr r="F43" s="3"/>
        <tr r="F44" s="3"/>
        <tr r="F45" s="3"/>
        <tr r="F46" s="3"/>
        <tr r="F47" s="3"/>
        <tr r="F48" s="3"/>
        <tr r="F36" s="5"/>
        <tr r="F37" s="5"/>
      </tp>
      <tp t="e">
        <v>#N/A</v>
        <stp/>
        <stp>BDP|16363931012853753553</stp>
        <tr r="H33" s="5"/>
        <tr r="H33" s="5"/>
      </tp>
      <tp t="e">
        <v>#N/A</v>
        <stp/>
        <stp>BDP|18352290228202497266</stp>
        <tr r="AJ31" s="3"/>
        <tr r="AJ31" s="3"/>
        <tr r="AJ32" s="3"/>
        <tr r="AJ32" s="3"/>
      </tp>
      <tp t="e">
        <v>#N/A</v>
        <stp/>
        <stp>BDP|10978957357803847730</stp>
        <tr r="AT10" s="3"/>
        <tr r="AT9" s="3"/>
        <tr r="AT10" s="5"/>
        <tr r="AT11" s="5"/>
      </tp>
      <tp t="e">
        <v>#N/A</v>
        <stp/>
        <stp>BDP|16521727097643263316</stp>
        <tr r="AS20" s="5"/>
        <tr r="L20" s="5"/>
        <tr r="L20" s="5"/>
      </tp>
      <tp t="e">
        <v>#N/A</v>
        <stp/>
        <stp>BDP|10960014394478955979</stp>
        <tr r="AU23" s="3"/>
        <tr r="AU23" s="3"/>
        <tr r="AU23" s="3"/>
        <tr r="AU24" s="3"/>
        <tr r="AU24" s="3"/>
        <tr r="AU24" s="3"/>
        <tr r="AU25" s="3"/>
        <tr r="AU25" s="3"/>
        <tr r="AU25" s="3"/>
        <tr r="AU26" s="3"/>
        <tr r="AU26" s="3"/>
        <tr r="AU26" s="3"/>
        <tr r="AU27" s="3"/>
        <tr r="AU27" s="3"/>
        <tr r="AU27" s="3"/>
        <tr r="AU28" s="3"/>
        <tr r="AU28" s="3"/>
        <tr r="AU28" s="3"/>
        <tr r="AU29" s="3"/>
        <tr r="AU29" s="3"/>
        <tr r="AU29" s="3"/>
        <tr r="AU22" s="5"/>
        <tr r="AU22" s="5"/>
        <tr r="AU22" s="5"/>
        <tr r="AU23" s="5"/>
        <tr r="AU23" s="5"/>
        <tr r="AU23" s="5"/>
        <tr r="AU24" s="5"/>
        <tr r="AU24" s="5"/>
        <tr r="AU24" s="5"/>
        <tr r="AU25" s="5"/>
        <tr r="AU25" s="5"/>
        <tr r="AU25" s="5"/>
      </tp>
      <tp t="e">
        <v>#N/A</v>
        <stp/>
        <stp>BDP|13884883170614435017</stp>
        <tr r="I30" s="3"/>
      </tp>
      <tp t="e">
        <v>#N/A</v>
        <stp/>
        <stp>BDP|10075708181742622528</stp>
        <tr r="AU11" s="3"/>
        <tr r="AU11" s="3"/>
        <tr r="AU11" s="3"/>
        <tr r="AU12" s="3"/>
        <tr r="AU12" s="3"/>
        <tr r="AU12" s="3"/>
        <tr r="AU12" s="5"/>
        <tr r="AU12" s="5"/>
        <tr r="AU12" s="5"/>
      </tp>
      <tp t="e">
        <v>#N/A</v>
        <stp/>
        <stp>BDP|16684573770679213575</stp>
        <tr r="X10" s="3"/>
        <tr r="X9" s="3"/>
        <tr r="X10" s="5"/>
        <tr r="X11" s="5"/>
      </tp>
      <tp t="e">
        <v>#N/A</v>
        <stp/>
        <stp>BDP|15531401457528561419</stp>
        <tr r="I20" s="5"/>
      </tp>
    </main>
    <main first="bofaddin.rtdserver">
      <tp t="e">
        <v>#N/A</v>
        <stp/>
        <stp>BDP|14238491493431586145</stp>
        <tr r="Y27" s="5"/>
      </tp>
      <tp t="e">
        <v>#N/A</v>
        <stp/>
        <stp>BDP|13592855048280651679</stp>
        <tr r="AS7" s="3"/>
        <tr r="L7" s="3"/>
        <tr r="L7" s="3"/>
        <tr r="AS7" s="5"/>
        <tr r="AS8" s="5"/>
        <tr r="L7" s="5"/>
        <tr r="L7" s="5"/>
        <tr r="L8" s="5"/>
        <tr r="L8" s="5"/>
      </tp>
      <tp t="e">
        <v>#N/A</v>
        <stp/>
        <stp>BDP|14569426083245962464</stp>
        <tr r="AS33" s="3"/>
        <tr r="AS34" s="3"/>
        <tr r="AS35" s="3"/>
        <tr r="L33" s="3"/>
        <tr r="L33" s="3"/>
        <tr r="L34" s="3"/>
        <tr r="L34" s="3"/>
        <tr r="L35" s="3"/>
        <tr r="L35" s="3"/>
        <tr r="AS31" s="5"/>
        <tr r="L31" s="5"/>
        <tr r="L31" s="5"/>
      </tp>
      <tp t="e">
        <v>#N/A</v>
        <stp/>
        <stp>BDP|16742537089896029409</stp>
        <tr r="I36" s="3"/>
        <tr r="I37" s="3"/>
      </tp>
      <tp t="e">
        <v>#N/A</v>
        <stp/>
        <stp>BDP|12419622069839675262</stp>
        <tr r="Q40" s="3"/>
        <tr r="Q41" s="3"/>
        <tr r="Q42" s="3"/>
        <tr r="Q43" s="3"/>
        <tr r="Q44" s="3"/>
        <tr r="Q45" s="3"/>
        <tr r="Q46" s="3"/>
        <tr r="Q47" s="3"/>
        <tr r="Q48" s="3"/>
        <tr r="Q36" s="5"/>
        <tr r="Q37" s="5"/>
      </tp>
      <tp t="e">
        <v>#N/A</v>
        <stp/>
        <stp>BDP|12929239327779563299</stp>
        <tr r="AT29" s="5"/>
      </tp>
      <tp t="e">
        <v>#N/A</v>
        <stp/>
        <stp>BDP|14465132937489570645</stp>
        <tr r="Z34" s="5"/>
        <tr r="Z35" s="5"/>
      </tp>
      <tp t="e">
        <v>#N/A</v>
        <stp/>
        <stp>BDP|11361947496341227920</stp>
        <tr r="H7" s="3"/>
        <tr r="H7" s="3"/>
        <tr r="H7" s="5"/>
        <tr r="H7" s="5"/>
        <tr r="H8" s="5"/>
        <tr r="H8" s="5"/>
      </tp>
      <tp t="e">
        <v>#N/A</v>
        <stp/>
        <stp>BDP|14084966730654459320</stp>
        <tr r="Z7" s="3"/>
        <tr r="Z7" s="5"/>
        <tr r="Z8" s="5"/>
      </tp>
      <tp t="e">
        <v>#N/A</v>
        <stp/>
        <stp>BDP|15693026143948060040</stp>
        <tr r="AS38" s="5"/>
      </tp>
      <tp t="e">
        <v>#N/A</v>
        <stp/>
        <stp>BDP|12998424492367337180</stp>
        <tr r="Y13" s="3"/>
        <tr r="Y14" s="3"/>
        <tr r="Y15" s="3"/>
        <tr r="Y16" s="3"/>
        <tr r="Y13" s="5"/>
        <tr r="Y14" s="5"/>
        <tr r="Y15" s="5"/>
        <tr r="Y16" s="5"/>
        <tr r="Y17" s="5"/>
      </tp>
      <tp t="e">
        <v>#N/A</v>
        <stp/>
        <stp>BDP|15435325371029558100</stp>
        <tr r="AK17" s="3"/>
        <tr r="AK17" s="3"/>
        <tr r="AK17" s="3"/>
        <tr r="AK18" s="3"/>
        <tr r="AK18" s="3"/>
        <tr r="AK18" s="3"/>
        <tr r="AK19" s="3"/>
        <tr r="AK19" s="3"/>
        <tr r="AK19" s="3"/>
        <tr r="AK20" s="3"/>
        <tr r="AK20" s="3"/>
        <tr r="AK20" s="3"/>
        <tr r="AK21" s="3"/>
        <tr r="AK21" s="3"/>
        <tr r="AK21" s="3"/>
        <tr r="AK22" s="3"/>
        <tr r="AK22" s="3"/>
        <tr r="AK22" s="3"/>
        <tr r="AK18" s="5"/>
        <tr r="AK18" s="5"/>
        <tr r="AK18" s="5"/>
        <tr r="AK19" s="5"/>
        <tr r="AK19" s="5"/>
        <tr r="AK19" s="5"/>
      </tp>
      <tp t="e">
        <v>#N/A</v>
        <stp/>
        <stp>BDP|12467844537842444263</stp>
        <tr r="AU31" s="3"/>
        <tr r="AU31" s="3"/>
        <tr r="AU31" s="3"/>
        <tr r="AU32" s="3"/>
        <tr r="AU32" s="3"/>
        <tr r="AU32" s="3"/>
        <tr r="AU30" s="5"/>
        <tr r="AU30" s="5"/>
        <tr r="AU30" s="5"/>
      </tp>
      <tp t="e">
        <v>#N/A</v>
        <stp/>
        <stp>BDP|17202896029586045276</stp>
        <tr r="AJ36" s="3"/>
        <tr r="AJ36" s="3"/>
        <tr r="AJ37" s="3"/>
        <tr r="AJ37" s="3"/>
      </tp>
      <tp t="e">
        <v>#N/A</v>
        <stp/>
        <stp>BDP|17640805663522273231</stp>
        <tr r="H5" s="5"/>
      </tp>
      <tp t="e">
        <v>#N/A</v>
        <stp/>
        <stp>BDP|14960291542382495915</stp>
        <tr r="H3" s="5"/>
        <tr r="H3" s="5"/>
        <tr r="H4" s="5"/>
        <tr r="H4" s="5"/>
      </tp>
    </main>
    <main first="bofaddin.rtdserver">
      <tp t="e">
        <v>#N/A</v>
        <stp/>
        <stp>BDP|11824416058996840817</stp>
        <tr r="AK30" s="3"/>
        <tr r="AK30" s="3"/>
        <tr r="AK30" s="3"/>
      </tp>
      <tp t="e">
        <v>#N/A</v>
        <stp/>
        <stp>BDP|14834897119890468371</stp>
        <tr r="N5" s="5"/>
      </tp>
      <tp t="e">
        <v>#N/A</v>
        <stp/>
        <stp>BDP|13096937503641344585</stp>
        <tr r="N23" s="3"/>
        <tr r="N24" s="3"/>
        <tr r="N25" s="3"/>
        <tr r="N26" s="3"/>
        <tr r="N27" s="3"/>
        <tr r="N28" s="3"/>
        <tr r="N29" s="3"/>
        <tr r="N22" s="5"/>
        <tr r="N23" s="5"/>
        <tr r="N24" s="5"/>
        <tr r="N25" s="5"/>
      </tp>
      <tp t="e">
        <v>#N/A</v>
        <stp/>
        <stp>BDP|18089595867780311565</stp>
        <tr r="N2" s="3"/>
        <tr r="N3" s="3"/>
        <tr r="N4" s="3"/>
        <tr r="N2" s="5"/>
      </tp>
      <tp t="e">
        <v>#N/A</v>
        <stp/>
        <stp>BDP|14127988766220146542</stp>
        <tr r="Y8" s="3"/>
        <tr r="Y9" s="5"/>
      </tp>
      <tp t="e">
        <v>#N/A</v>
        <stp/>
        <stp>BDP|13141730662188850425</stp>
        <tr r="AD10" s="3"/>
        <tr r="AD9" s="3"/>
        <tr r="AD10" s="5"/>
        <tr r="AD11" s="5"/>
      </tp>
      <tp t="e">
        <v>#N/A</v>
        <stp/>
        <stp>BDP|16451444085027883307</stp>
        <tr r="E38" s="5"/>
      </tp>
      <tp t="e">
        <v>#N/A</v>
        <stp/>
        <stp>BDP|17977524147470464851</stp>
        <tr r="K33" s="5"/>
      </tp>
      <tp t="e">
        <v>#N/A</v>
        <stp/>
        <stp>BDP|13820553787335789513</stp>
        <tr r="H7" s="3"/>
        <tr r="H7" s="3"/>
        <tr r="H7" s="5"/>
        <tr r="H7" s="5"/>
        <tr r="H8" s="5"/>
        <tr r="H8" s="5"/>
      </tp>
      <tp t="e">
        <v>#N/A</v>
        <stp/>
        <stp>BDP|15722741531866503987</stp>
        <tr r="H30" s="3"/>
        <tr r="H30" s="3"/>
      </tp>
      <tp t="e">
        <v>#N/A</v>
        <stp/>
        <stp>BDP|13776510049188520447</stp>
        <tr r="K21" s="5"/>
      </tp>
      <tp t="e">
        <v>#N/A</v>
        <stp/>
        <stp>BDP|11907433030300167899</stp>
        <tr r="AL28" s="5"/>
      </tp>
      <tp t="e">
        <v>#N/A</v>
        <stp/>
        <stp>BDP|11759405335469732179</stp>
        <tr r="L21" s="5"/>
        <tr r="L21" s="5"/>
        <tr r="AS21" s="5"/>
      </tp>
      <tp t="e">
        <v>#N/A</v>
        <stp/>
        <stp>BDP|15791755201198656475</stp>
        <tr r="Q21" s="5"/>
      </tp>
      <tp t="e">
        <v>#N/A</v>
        <stp/>
        <stp>BDP|15728817296333718928</stp>
        <tr r="Y33" s="3"/>
        <tr r="Y34" s="3"/>
        <tr r="Y35" s="3"/>
        <tr r="Y31" s="5"/>
      </tp>
      <tp t="e">
        <v>#N/A</v>
        <stp/>
        <stp>BDP|18126103292099444733</stp>
        <tr r="AL33" s="3"/>
        <tr r="AL34" s="3"/>
        <tr r="AL35" s="3"/>
        <tr r="AL31" s="5"/>
      </tp>
      <tp t="e">
        <v>#N/A</v>
        <stp/>
        <stp>BDP|14770368870507014961</stp>
        <tr r="H36" s="3"/>
        <tr r="H36" s="3"/>
        <tr r="H37" s="3"/>
        <tr r="H37" s="3"/>
      </tp>
      <tp t="e">
        <v>#N/A</v>
        <stp/>
        <stp>BDP|17931259402653701905</stp>
        <tr r="X33" s="3"/>
        <tr r="X34" s="3"/>
        <tr r="X35" s="3"/>
        <tr r="X31" s="5"/>
      </tp>
      <tp t="e">
        <v>#N/A</v>
        <stp/>
        <stp>BDP|14447821521533485289</stp>
        <tr r="AM7" s="3"/>
        <tr r="AM7" s="3"/>
        <tr r="AM7" s="5"/>
        <tr r="AM7" s="5"/>
        <tr r="AM8" s="5"/>
        <tr r="AM8" s="5"/>
      </tp>
      <tp t="e">
        <v>#N/A</v>
        <stp/>
        <stp>BDP|17781081323118484223</stp>
        <tr r="AM2" s="3"/>
        <tr r="AM2" s="3"/>
        <tr r="AM3" s="3"/>
        <tr r="AM3" s="3"/>
        <tr r="AM4" s="3"/>
        <tr r="AM4" s="3"/>
        <tr r="AM2" s="5"/>
        <tr r="AM2" s="5"/>
      </tp>
      <tp t="e">
        <v>#N/A</v>
        <stp/>
        <stp>BDP|16398128439829659211</stp>
        <tr r="N33" s="5"/>
      </tp>
      <tp t="e">
        <v>#N/A</v>
        <stp/>
        <stp>BDP|16982419262372088958</stp>
        <tr r="AO13" s="3"/>
        <tr r="AO14" s="3"/>
        <tr r="AO15" s="3"/>
        <tr r="AO16" s="3"/>
        <tr r="AO13" s="5"/>
        <tr r="AO14" s="5"/>
        <tr r="AO15" s="5"/>
        <tr r="AO16" s="5"/>
        <tr r="AO17" s="5"/>
      </tp>
      <tp t="e">
        <v>#N/A</v>
        <stp/>
        <stp>BDP|11824777291068467855</stp>
        <tr r="AA30" s="3"/>
      </tp>
      <tp t="e">
        <v>#N/A</v>
        <stp/>
        <stp>BDP|13970869459018184968</stp>
        <tr r="X31" s="3"/>
        <tr r="X32" s="3"/>
        <tr r="X30" s="5"/>
      </tp>
      <tp t="e">
        <v>#N/A</v>
        <stp/>
        <stp>BDP|15044536052612961889</stp>
        <tr r="H33" s="5"/>
        <tr r="H33" s="5"/>
      </tp>
      <tp t="e">
        <v>#N/A</v>
        <stp/>
        <stp>BDP|14187542453108348365</stp>
        <tr r="AK38" s="3"/>
        <tr r="AK38" s="3"/>
        <tr r="AK38" s="3"/>
        <tr r="AK39" s="3"/>
        <tr r="AK39" s="3"/>
        <tr r="AK39" s="3"/>
        <tr r="AK32" s="5"/>
        <tr r="AK32" s="5"/>
        <tr r="AK32" s="5"/>
      </tp>
      <tp t="e">
        <v>#N/A</v>
        <stp/>
        <stp>BDP|12530821140263067255</stp>
        <tr r="AS23" s="3"/>
        <tr r="AS24" s="3"/>
        <tr r="AS25" s="3"/>
        <tr r="AS26" s="3"/>
        <tr r="AS27" s="3"/>
        <tr r="AS28" s="3"/>
        <tr r="AS29" s="3"/>
        <tr r="L23" s="3"/>
        <tr r="L23" s="3"/>
        <tr r="L24" s="3"/>
        <tr r="L24" s="3"/>
        <tr r="L25" s="3"/>
        <tr r="L25" s="3"/>
        <tr r="L26" s="3"/>
        <tr r="L26" s="3"/>
        <tr r="L27" s="3"/>
        <tr r="L27" s="3"/>
        <tr r="L28" s="3"/>
        <tr r="L28" s="3"/>
        <tr r="L29" s="3"/>
        <tr r="L29" s="3"/>
        <tr r="AS22" s="5"/>
        <tr r="AS23" s="5"/>
        <tr r="AS24" s="5"/>
        <tr r="AS25" s="5"/>
        <tr r="L22" s="5"/>
        <tr r="L22" s="5"/>
        <tr r="L23" s="5"/>
        <tr r="L23" s="5"/>
        <tr r="L24" s="5"/>
        <tr r="L24" s="5"/>
        <tr r="L25" s="5"/>
        <tr r="L25" s="5"/>
      </tp>
      <tp t="e">
        <v>#N/A</v>
        <stp/>
        <stp>BDP|10076902062940084068</stp>
        <tr r="V33" s="3"/>
        <tr r="V34" s="3"/>
        <tr r="V35" s="3"/>
        <tr r="V31" s="5"/>
      </tp>
      <tp t="e">
        <v>#N/A</v>
        <stp/>
        <stp>BDP|12962749526938719080</stp>
        <tr r="AS10" s="3"/>
        <tr r="AS9" s="3"/>
        <tr r="AS10" s="5"/>
        <tr r="AS11" s="5"/>
      </tp>
      <tp t="e">
        <v>#N/A</v>
        <stp/>
        <stp>BDP|14358913650804286361</stp>
        <tr r="K31" s="3"/>
        <tr r="K32" s="3"/>
        <tr r="K30" s="5"/>
      </tp>
      <tp t="e">
        <v>#N/A</v>
        <stp/>
        <stp>BDP|10806874451571946312</stp>
        <tr r="Z36" s="3"/>
        <tr r="Z37" s="3"/>
      </tp>
      <tp t="e">
        <v>#N/A</v>
        <stp/>
        <stp>BDP|16466480511539946523</stp>
        <tr r="AD7" s="3"/>
        <tr r="AD7" s="5"/>
        <tr r="AD8" s="5"/>
      </tp>
    </main>
    <main first="bofaddin.rtdserver">
      <tp t="e">
        <v>#N/A</v>
        <stp/>
        <stp>BDP|17920211516100471832</stp>
        <tr r="V2" s="3"/>
        <tr r="V3" s="3"/>
        <tr r="V4" s="3"/>
        <tr r="V2" s="5"/>
      </tp>
      <tp t="e">
        <v>#N/A</v>
        <stp/>
        <stp>BDP|16512055096577083482</stp>
        <tr r="AO5" s="3"/>
        <tr r="AO6" s="3"/>
        <tr r="AO6" s="5"/>
      </tp>
      <tp t="e">
        <v>#N/A</v>
        <stp/>
        <stp>BDP|12332823855777924439</stp>
        <tr r="W38" s="3"/>
        <tr r="W39" s="3"/>
        <tr r="W32" s="5"/>
      </tp>
      <tp t="e">
        <v>#N/A</v>
        <stp/>
        <stp>BDP|17145882575014056022</stp>
        <tr r="Q30" s="3"/>
      </tp>
      <tp t="e">
        <v>#N/A</v>
        <stp/>
        <stp>BDP|11112766563199252570</stp>
        <tr r="Q29" s="5"/>
      </tp>
      <tp t="e">
        <v>#N/A</v>
        <stp/>
        <stp>BDP|10412947200152662769</stp>
        <tr r="M34" s="5"/>
        <tr r="M34" s="5"/>
        <tr r="M35" s="5"/>
        <tr r="M35" s="5"/>
      </tp>
      <tp t="e">
        <v>#N/A</v>
        <stp/>
        <stp>BDP|16505820249913865543</stp>
        <tr r="AD33" s="3"/>
        <tr r="AD34" s="3"/>
        <tr r="AD35" s="3"/>
        <tr r="AD31" s="5"/>
      </tp>
      <tp t="e">
        <v>#N/A</v>
        <stp/>
        <stp>BDP|12140868313312678553</stp>
        <tr r="AA11" s="3"/>
        <tr r="AA12" s="3"/>
        <tr r="AA12" s="5"/>
      </tp>
      <tp t="e">
        <v>#N/A</v>
        <stp/>
        <stp>BDP|16090259291920782141</stp>
        <tr r="AS36" s="3"/>
        <tr r="AS37" s="3"/>
        <tr r="L36" s="3"/>
        <tr r="L36" s="3"/>
        <tr r="L37" s="3"/>
        <tr r="L37" s="3"/>
      </tp>
      <tp t="e">
        <v>#N/A</v>
        <stp/>
        <stp>BDP|16288795544208723010</stp>
        <tr r="AO40" s="3"/>
        <tr r="AO41" s="3"/>
        <tr r="AO42" s="3"/>
        <tr r="AO43" s="3"/>
        <tr r="AO44" s="3"/>
        <tr r="AO45" s="3"/>
        <tr r="AO46" s="3"/>
        <tr r="AO47" s="3"/>
        <tr r="AO48" s="3"/>
        <tr r="AO36" s="5"/>
        <tr r="AO37" s="5"/>
      </tp>
      <tp t="e">
        <v>#N/A</v>
        <stp/>
        <stp>BDP|10429904201355414183</stp>
        <tr r="AS2" s="3"/>
        <tr r="AS3" s="3"/>
        <tr r="AS4" s="3"/>
        <tr r="AS2" s="5"/>
      </tp>
      <tp t="e">
        <v>#N/A</v>
        <stp/>
        <stp>BDP|11075975954250310097</stp>
        <tr r="Y20" s="5"/>
      </tp>
      <tp t="e">
        <v>#N/A</v>
        <stp/>
        <stp>BDP|17344953363752849766</stp>
        <tr r="AD34" s="5"/>
        <tr r="AD35" s="5"/>
      </tp>
      <tp t="e">
        <v>#N/A</v>
        <stp/>
        <stp>BDP|10757515786214248497</stp>
        <tr r="AT20" s="5"/>
      </tp>
      <tp t="e">
        <v>#N/A</v>
        <stp/>
        <stp>BDP|15332120861188833757</stp>
        <tr r="I40" s="3"/>
        <tr r="I41" s="3"/>
        <tr r="I42" s="3"/>
        <tr r="I43" s="3"/>
        <tr r="I44" s="3"/>
        <tr r="I45" s="3"/>
        <tr r="I46" s="3"/>
        <tr r="I47" s="3"/>
        <tr r="I48" s="3"/>
        <tr r="I36" s="5"/>
        <tr r="I37" s="5"/>
      </tp>
      <tp t="e">
        <v>#N/A</v>
        <stp/>
        <stp>BDP|14073988036107996463</stp>
        <tr r="M40" s="3"/>
        <tr r="M40" s="3"/>
        <tr r="M41" s="3"/>
        <tr r="M41" s="3"/>
        <tr r="M42" s="3"/>
        <tr r="M42" s="3"/>
        <tr r="M43" s="3"/>
        <tr r="M43" s="3"/>
        <tr r="M44" s="3"/>
        <tr r="M44" s="3"/>
        <tr r="M45" s="3"/>
        <tr r="M45" s="3"/>
        <tr r="M46" s="3"/>
        <tr r="M46" s="3"/>
        <tr r="M47" s="3"/>
        <tr r="M47" s="3"/>
        <tr r="M48" s="3"/>
        <tr r="M48" s="3"/>
        <tr r="M36" s="5"/>
        <tr r="M36" s="5"/>
        <tr r="M37" s="5"/>
        <tr r="M37" s="5"/>
      </tp>
      <tp t="s">
        <v>#N/A N/A</v>
        <stp/>
        <stp>BDP|17698445056368353371</stp>
        <tr r="J31" s="3"/>
        <tr r="J32" s="3"/>
        <tr r="J30" s="5"/>
      </tp>
      <tp t="s">
        <v>#N/A N/A</v>
        <stp/>
        <stp>BDP|14734226347416830994</stp>
        <tr r="J27" s="5"/>
      </tp>
      <tp t="e">
        <v>#N/A</v>
        <stp/>
        <stp>BDP|10864263593720890673</stp>
        <tr r="Q27" s="5"/>
      </tp>
      <tp t="e">
        <v>#N/A</v>
        <stp/>
        <stp>BDP|12221562620900011868</stp>
        <tr r="V40" s="3"/>
        <tr r="V41" s="3"/>
        <tr r="V42" s="3"/>
        <tr r="V43" s="3"/>
        <tr r="V44" s="3"/>
        <tr r="V45" s="3"/>
        <tr r="V46" s="3"/>
        <tr r="V47" s="3"/>
        <tr r="V48" s="3"/>
        <tr r="V36" s="5"/>
        <tr r="V37" s="5"/>
      </tp>
      <tp t="e">
        <v>#N/A</v>
        <stp/>
        <stp>BDP|11455511357194702872</stp>
        <tr r="AA5" s="3"/>
        <tr r="AA6" s="3"/>
        <tr r="AA6" s="5"/>
      </tp>
      <tp t="e">
        <v>#N/A</v>
        <stp/>
        <stp>BDP|13589523036280150828</stp>
        <tr r="V21" s="5"/>
      </tp>
      <tp t="e">
        <v>#N/A</v>
        <stp/>
        <stp>BDP|14067304777494773957</stp>
        <tr r="F8" s="3"/>
        <tr r="F9" s="5"/>
      </tp>
      <tp t="e">
        <v>#N/A</v>
        <stp/>
        <stp>BDP|11199206257839746268</stp>
        <tr r="AM21" s="5"/>
        <tr r="AM21" s="5"/>
      </tp>
      <tp t="e">
        <v>#N/A</v>
        <stp/>
        <stp>BDP|12574626203738456178</stp>
        <tr r="W23" s="3"/>
        <tr r="W24" s="3"/>
        <tr r="W25" s="3"/>
        <tr r="W26" s="3"/>
        <tr r="W27" s="3"/>
        <tr r="W28" s="3"/>
        <tr r="W29" s="3"/>
        <tr r="W22" s="5"/>
        <tr r="W23" s="5"/>
        <tr r="W24" s="5"/>
        <tr r="W25" s="5"/>
      </tp>
      <tp t="e">
        <v>#N/A</v>
        <stp/>
        <stp>BDP|12344220730898016662</stp>
        <tr r="Y2" s="3"/>
        <tr r="Y3" s="3"/>
        <tr r="Y4" s="3"/>
        <tr r="Y2" s="5"/>
      </tp>
      <tp t="e">
        <v>#N/A</v>
        <stp/>
        <stp>BDP|13096411194824611746</stp>
        <tr r="AM29" s="5"/>
        <tr r="AM29" s="5"/>
      </tp>
      <tp t="e">
        <v>#N/A</v>
        <stp/>
        <stp>BDP|14794497893140964427</stp>
        <tr r="X38" s="5"/>
      </tp>
      <tp t="e">
        <v>#N/A</v>
        <stp/>
        <stp>BDP|10570092132389923717</stp>
        <tr r="AA38" s="3"/>
        <tr r="AA39" s="3"/>
        <tr r="AA32" s="5"/>
      </tp>
      <tp t="e">
        <v>#N/A</v>
        <stp/>
        <stp>BDP|18407344541809033499</stp>
        <tr r="Q28" s="5"/>
      </tp>
      <tp t="e">
        <v>#N/A</v>
        <stp/>
        <stp>BDP|14933760880128225164</stp>
        <tr r="X21" s="5"/>
      </tp>
      <tp t="e">
        <v>#N/A</v>
        <stp/>
        <stp>BDP|12652914874637715990</stp>
        <tr r="H23" s="3"/>
        <tr r="H23" s="3"/>
        <tr r="H24" s="3"/>
        <tr r="H24" s="3"/>
        <tr r="H25" s="3"/>
        <tr r="H25" s="3"/>
        <tr r="H26" s="3"/>
        <tr r="H26" s="3"/>
        <tr r="H27" s="3"/>
        <tr r="H27" s="3"/>
        <tr r="H28" s="3"/>
        <tr r="H28" s="3"/>
        <tr r="H29" s="3"/>
        <tr r="H29" s="3"/>
        <tr r="H22" s="5"/>
        <tr r="H22" s="5"/>
        <tr r="H23" s="5"/>
        <tr r="H23" s="5"/>
        <tr r="H24" s="5"/>
        <tr r="H24" s="5"/>
        <tr r="H25" s="5"/>
        <tr r="H25" s="5"/>
      </tp>
      <tp t="e">
        <v>#N/A</v>
        <stp/>
        <stp>BDP|10920474900357645167</stp>
        <tr r="AJ13" s="3"/>
        <tr r="AJ13" s="3"/>
        <tr r="AJ14" s="3"/>
        <tr r="AJ14" s="3"/>
        <tr r="AJ15" s="3"/>
        <tr r="AJ15" s="3"/>
        <tr r="AJ16" s="3"/>
        <tr r="AJ16" s="3"/>
      </tp>
      <tp t="e">
        <v>#N/A</v>
        <stp/>
        <stp>BDP|13300407992764295824</stp>
        <tr r="N35" s="5"/>
        <tr r="N34" s="5"/>
      </tp>
      <tp t="e">
        <v>#N/A</v>
        <stp/>
        <stp>BDP|13142131902201753177</stp>
        <tr r="I38" s="3"/>
        <tr r="I39" s="3"/>
        <tr r="I32" s="5"/>
      </tp>
      <tp t="e">
        <v>#N/A</v>
        <stp/>
        <stp>BDP|12753527343794749520</stp>
        <tr r="Z29" s="5"/>
      </tp>
      <tp t="e">
        <v>#N/A</v>
        <stp/>
        <stp>BDP|17300069013264743028</stp>
        <tr r="I34" s="5"/>
        <tr r="I35" s="5"/>
      </tp>
      <tp t="e">
        <v>#N/A</v>
        <stp/>
        <stp>BDP|17315671404774793755</stp>
        <tr r="X5" s="5"/>
      </tp>
      <tp t="e">
        <v>#N/A</v>
        <stp/>
        <stp>BDP|14598427406316107423</stp>
        <tr r="Z5" s="5"/>
      </tp>
      <tp t="e">
        <v>#N/A</v>
        <stp/>
        <stp>BDP|18012146480347941482</stp>
        <tr r="AA33" s="3"/>
        <tr r="AA34" s="3"/>
        <tr r="AA35" s="3"/>
        <tr r="AA31" s="5"/>
      </tp>
      <tp t="e">
        <v>#N/A</v>
        <stp/>
        <stp>BDP|16725446758584819164</stp>
        <tr r="AL11" s="3"/>
        <tr r="AL12" s="3"/>
        <tr r="AL12" s="5"/>
      </tp>
      <tp t="e">
        <v>#N/A</v>
        <stp/>
        <stp>BDP|15589867832949355565</stp>
        <tr r="AO28" s="5"/>
      </tp>
      <tp t="e">
        <v>#N/A</v>
        <stp/>
        <stp>BDP|14187773386809093070</stp>
        <tr r="AT40" s="3"/>
        <tr r="AT41" s="3"/>
        <tr r="AT42" s="3"/>
        <tr r="AT43" s="3"/>
        <tr r="AT44" s="3"/>
        <tr r="AT45" s="3"/>
        <tr r="AT46" s="3"/>
        <tr r="AT47" s="3"/>
        <tr r="AT48" s="3"/>
        <tr r="AT36" s="5"/>
        <tr r="AT37" s="5"/>
      </tp>
      <tp t="e">
        <v>#N/A</v>
        <stp/>
        <stp>BDP|11388193400445408795</stp>
        <tr r="AE11" s="3"/>
        <tr r="AE12" s="3"/>
        <tr r="AE12" s="5"/>
      </tp>
      <tp t="e">
        <v>#N/A</v>
        <stp/>
        <stp>BDP|13176049941291314407</stp>
        <tr r="AT30" s="3"/>
      </tp>
      <tp t="e">
        <v>#N/A</v>
        <stp/>
        <stp>BDP|13462018513232859298</stp>
        <tr r="AO30" s="3"/>
      </tp>
      <tp t="e">
        <v>#N/A</v>
        <stp/>
        <stp>BDP|13488980695345979460</stp>
        <tr r="AM30" s="3"/>
        <tr r="AM30" s="3"/>
      </tp>
      <tp t="e">
        <v>#N/A</v>
        <stp/>
        <stp>BDP|14731048459696198438</stp>
        <tr r="H30" s="3"/>
        <tr r="H30" s="3"/>
      </tp>
      <tp t="e">
        <v>#N/A</v>
        <stp/>
        <stp>BDP|14047134501163239580</stp>
        <tr r="Q31" s="3"/>
        <tr r="Q32" s="3"/>
        <tr r="Q30" s="5"/>
      </tp>
      <tp t="e">
        <v>#N/A</v>
        <stp/>
        <stp>BDP|16043278329062091759</stp>
        <tr r="E28" s="5"/>
      </tp>
      <tp t="e">
        <v>#N/A</v>
        <stp/>
        <stp>BDP|11585575613520220696</stp>
        <tr r="AK2" s="3"/>
        <tr r="AK2" s="3"/>
        <tr r="AK2" s="3"/>
        <tr r="AK3" s="3"/>
        <tr r="AK3" s="3"/>
        <tr r="AK3" s="3"/>
        <tr r="AK4" s="3"/>
        <tr r="AK4" s="3"/>
        <tr r="AK4" s="3"/>
        <tr r="AK2" s="5"/>
        <tr r="AK2" s="5"/>
        <tr r="AK2" s="5"/>
      </tp>
      <tp t="e">
        <v>#N/A</v>
        <stp/>
        <stp>BDP|16301634759856021032</stp>
        <tr r="Y21" s="5"/>
      </tp>
      <tp t="e">
        <v>#N/A</v>
        <stp/>
        <stp>BDP|17414187527587115073</stp>
        <tr r="AA10" s="3"/>
        <tr r="AA9" s="3"/>
        <tr r="AA10" s="5"/>
        <tr r="AA11" s="5"/>
      </tp>
      <tp t="e">
        <v>#N/A</v>
        <stp/>
        <stp>BDP|15645633420441878303</stp>
        <tr r="AT2" s="3"/>
        <tr r="AT3" s="3"/>
        <tr r="AT4" s="3"/>
        <tr r="AT2" s="5"/>
      </tp>
      <tp t="e">
        <v>#N/A</v>
        <stp/>
        <stp>BDP|11895315550113011749</stp>
        <tr r="AL5" s="3"/>
        <tr r="AL6" s="3"/>
        <tr r="AL6" s="5"/>
      </tp>
      <tp t="e">
        <v>#N/A</v>
        <stp/>
        <stp>BDP|18241559413898949712</stp>
        <tr r="H27" s="5"/>
      </tp>
      <tp t="s">
        <v>#N/A N/A</v>
        <stp/>
        <stp>BDP|13610518657449881968</stp>
        <tr r="J7" s="3"/>
        <tr r="J7" s="5"/>
        <tr r="J8" s="5"/>
      </tp>
      <tp t="e">
        <v>#N/A</v>
        <stp/>
        <stp>BDP|17237619001891089331</stp>
        <tr r="AM8" s="3"/>
        <tr r="AM8" s="3"/>
        <tr r="AM9" s="5"/>
        <tr r="AM9" s="5"/>
      </tp>
      <tp t="e">
        <v>#N/A</v>
        <stp/>
        <stp>BDP|12382801832538480247</stp>
        <tr r="AK3" s="5"/>
        <tr r="AK3" s="5"/>
        <tr r="AK3" s="5"/>
        <tr r="AK4" s="5"/>
        <tr r="AK4" s="5"/>
        <tr r="AK4" s="5"/>
      </tp>
      <tp t="e">
        <v>#N/A</v>
        <stp/>
        <stp>BDP|16237539201133990385</stp>
        <tr r="AA21" s="5"/>
      </tp>
      <tp t="e">
        <v>#N/A</v>
        <stp/>
        <stp>BDP|14190899791031892713</stp>
        <tr r="X28" s="5"/>
      </tp>
      <tp t="e">
        <v>#N/A</v>
        <stp/>
        <stp>BDP|14781080149036312559</stp>
        <tr r="H10" s="3"/>
        <tr r="H10" s="3"/>
        <tr r="H9" s="3"/>
        <tr r="H9" s="3"/>
        <tr r="H10" s="5"/>
        <tr r="H10" s="5"/>
        <tr r="H11" s="5"/>
        <tr r="H11" s="5"/>
      </tp>
      <tp t="e">
        <v>#N/A</v>
        <stp/>
        <stp>BDP|17304891181200999413</stp>
        <tr r="Z3" s="5"/>
        <tr r="Z4" s="5"/>
      </tp>
      <tp t="e">
        <v>#N/A</v>
        <stp/>
        <stp>BDP|10672241114932058231</stp>
        <tr r="AS5" s="5"/>
        <tr r="L5" s="5"/>
        <tr r="L5" s="5"/>
      </tp>
      <tp t="e">
        <v>#N/A</v>
        <stp/>
        <stp>BDP|10401635141503513262</stp>
        <tr r="H17" s="3"/>
        <tr r="H17" s="3"/>
        <tr r="H18" s="3"/>
        <tr r="H18" s="3"/>
        <tr r="H19" s="3"/>
        <tr r="H19" s="3"/>
        <tr r="H20" s="3"/>
        <tr r="H20" s="3"/>
        <tr r="H21" s="3"/>
        <tr r="H21" s="3"/>
        <tr r="H22" s="3"/>
        <tr r="H22" s="3"/>
        <tr r="H18" s="5"/>
        <tr r="H18" s="5"/>
        <tr r="H19" s="5"/>
        <tr r="H19" s="5"/>
      </tp>
      <tp t="e">
        <v>#N/A</v>
        <stp/>
        <stp>BDP|18126385807270868833</stp>
        <tr r="X17" s="3"/>
        <tr r="X18" s="3"/>
        <tr r="X19" s="3"/>
        <tr r="X20" s="3"/>
        <tr r="X21" s="3"/>
        <tr r="X22" s="3"/>
        <tr r="X18" s="5"/>
        <tr r="X19" s="5"/>
      </tp>
      <tp t="e">
        <v>#N/A</v>
        <stp/>
        <stp>BDP|11384541568216996736</stp>
        <tr r="H29" s="5"/>
        <tr r="H29" s="5"/>
      </tp>
      <tp t="e">
        <v>#N/A</v>
        <stp/>
        <stp>BDP|13390334746240569773</stp>
        <tr r="AO26" s="5"/>
      </tp>
      <tp t="e">
        <v>#N/A</v>
        <stp/>
        <stp>BDP|13090731254300860281</stp>
        <tr r="K38" s="3"/>
        <tr r="K39" s="3"/>
        <tr r="K32" s="5"/>
      </tp>
      <tp t="e">
        <v>#N/A</v>
        <stp/>
        <stp>BDP|17536627622189464967</stp>
        <tr r="AM28" s="5"/>
        <tr r="AM28" s="5"/>
      </tp>
      <tp t="e">
        <v>#N/A</v>
        <stp/>
        <stp>BDP|12029191619262088360</stp>
        <tr r="AD20" s="5"/>
      </tp>
      <tp t="e">
        <v>#N/A</v>
        <stp/>
        <stp>BDP|10067718446328616872</stp>
        <tr r="AA20" s="5"/>
      </tp>
      <tp t="s">
        <v>#N/A N/A</v>
        <stp/>
        <stp>BDP|13498405474018914806</stp>
        <tr r="J21" s="5"/>
      </tp>
      <tp t="e">
        <v>#N/A</v>
        <stp/>
        <stp>BDP|16064467665115909137</stp>
        <tr r="F3" s="5"/>
        <tr r="F4" s="5"/>
      </tp>
      <tp t="e">
        <v>#N/A</v>
        <stp/>
        <stp>BDP|16093149671805814558</stp>
        <tr r="AO31" s="3"/>
        <tr r="AO32" s="3"/>
        <tr r="AO30" s="5"/>
      </tp>
      <tp t="e">
        <v>#N/A</v>
        <stp/>
        <stp>BDP|17063735106608999878</stp>
        <tr r="H38" s="3"/>
        <tr r="H38" s="3"/>
        <tr r="H39" s="3"/>
        <tr r="H39" s="3"/>
        <tr r="H32" s="5"/>
        <tr r="H32" s="5"/>
      </tp>
      <tp t="e">
        <v>#N/A</v>
        <stp/>
        <stp>BDP|15057736033434394597</stp>
        <tr r="AD13" s="3"/>
        <tr r="AD14" s="3"/>
        <tr r="AD15" s="3"/>
        <tr r="AD16" s="3"/>
        <tr r="AD13" s="5"/>
        <tr r="AD14" s="5"/>
        <tr r="AD15" s="5"/>
        <tr r="AD16" s="5"/>
        <tr r="AD17" s="5"/>
      </tp>
      <tp t="e">
        <v>#N/A</v>
        <stp/>
        <stp>BDP|11392461913631858543</stp>
        <tr r="K36" s="3"/>
        <tr r="K37" s="3"/>
      </tp>
      <tp t="e">
        <v>#N/A</v>
        <stp/>
        <stp>BDP|11256678198558949699</stp>
        <tr r="W31" s="3"/>
        <tr r="W32" s="3"/>
        <tr r="W30" s="5"/>
      </tp>
      <tp t="e">
        <v>#N/A</v>
        <stp/>
        <stp>BDP|12999168067804749132</stp>
        <tr r="H30" s="3"/>
        <tr r="H30" s="3"/>
      </tp>
      <tp t="e">
        <v>#N/A</v>
        <stp/>
        <stp>BDP|12962154181078503377</stp>
        <tr r="AO34" s="5"/>
        <tr r="AO35" s="5"/>
      </tp>
      <tp t="e">
        <v>#N/A</v>
        <stp/>
        <stp>BDP|12492634075593068038</stp>
        <tr r="AU13" s="3"/>
        <tr r="AU13" s="3"/>
        <tr r="AU13" s="3"/>
        <tr r="AU14" s="3"/>
        <tr r="AU14" s="3"/>
        <tr r="AU14" s="3"/>
        <tr r="AU15" s="3"/>
        <tr r="AU15" s="3"/>
        <tr r="AU15" s="3"/>
        <tr r="AU16" s="3"/>
        <tr r="AU16" s="3"/>
        <tr r="AU16" s="3"/>
        <tr r="AU13" s="5"/>
        <tr r="AU13" s="5"/>
        <tr r="AU13" s="5"/>
        <tr r="AU14" s="5"/>
        <tr r="AU14" s="5"/>
        <tr r="AU14" s="5"/>
        <tr r="AU15" s="5"/>
        <tr r="AU15" s="5"/>
        <tr r="AU15" s="5"/>
        <tr r="AU16" s="5"/>
        <tr r="AU16" s="5"/>
        <tr r="AU16" s="5"/>
        <tr r="AU17" s="5"/>
        <tr r="AU17" s="5"/>
        <tr r="AU17" s="5"/>
      </tp>
      <tp t="e">
        <v>#N/A</v>
        <stp/>
        <stp>BDP|13814332021863048184</stp>
        <tr r="AM34" s="5"/>
        <tr r="AM34" s="5"/>
        <tr r="AM35" s="5"/>
        <tr r="AM35" s="5"/>
      </tp>
      <tp t="e">
        <v>#N/A</v>
        <stp/>
        <stp>BDP|16703110411791794725</stp>
        <tr r="H26" s="5"/>
      </tp>
      <tp t="e">
        <v>#N/A</v>
        <stp/>
        <stp>BDP|17866843392581902757</stp>
        <tr r="E38" s="3"/>
        <tr r="E39" s="3"/>
        <tr r="E32" s="5"/>
      </tp>
      <tp t="e">
        <v>#N/A</v>
        <stp/>
        <stp>BDP|13325512824461771534</stp>
        <tr r="I11" s="3"/>
        <tr r="I12" s="3"/>
        <tr r="I12" s="5"/>
      </tp>
      <tp t="e">
        <v>#N/A</v>
        <stp/>
        <stp>BDP|10839786425856834383</stp>
        <tr r="K10" s="3"/>
        <tr r="K9" s="3"/>
        <tr r="K10" s="5"/>
        <tr r="K11" s="5"/>
      </tp>
      <tp t="s">
        <v>#N/A N/A</v>
        <stp/>
        <stp>BDP|12113094078154350163</stp>
        <tr r="J5" s="5"/>
      </tp>
      <tp t="e">
        <v>#N/A</v>
        <stp/>
        <stp>BDP|17377545818022366182</stp>
        <tr r="AO10" s="3"/>
        <tr r="AO9" s="3"/>
        <tr r="AO10" s="5"/>
        <tr r="AO11" s="5"/>
      </tp>
      <tp t="e">
        <v>#N/A</v>
        <stp/>
        <stp>BDP|14797977069048945375</stp>
        <tr r="W11" s="3"/>
        <tr r="W12" s="3"/>
        <tr r="W12" s="5"/>
      </tp>
      <tp t="e">
        <v>#N/A</v>
        <stp/>
        <stp>BDP|17953781106370384032</stp>
        <tr r="K33" s="3"/>
        <tr r="K34" s="3"/>
        <tr r="K35" s="3"/>
        <tr r="K31" s="5"/>
      </tp>
      <tp t="e">
        <v>#N/A</v>
        <stp/>
        <stp>BDP|17325566111150579363</stp>
        <tr r="AS30" s="3"/>
      </tp>
      <tp t="e">
        <v>#N/A</v>
        <stp/>
        <stp>BDP|11260728517770460756</stp>
        <tr r="Z31" s="3"/>
        <tr r="Z32" s="3"/>
        <tr r="Z30" s="5"/>
      </tp>
      <tp t="e">
        <v>#N/A</v>
        <stp/>
        <stp>BDP|10073845932619379232</stp>
        <tr r="AS20" s="5"/>
      </tp>
      <tp t="e">
        <v>#N/A</v>
        <stp/>
        <stp>BDP|10795996605181302930</stp>
        <tr r="K8" s="3"/>
        <tr r="K9" s="5"/>
      </tp>
      <tp t="e">
        <v>#N/A</v>
        <stp/>
        <stp>BDP|18192980557441119440</stp>
        <tr r="H36" s="3"/>
        <tr r="H37" s="3"/>
      </tp>
      <tp t="s">
        <v>#N/A N/A</v>
        <stp/>
        <stp>BDP|10140159982811902946</stp>
        <tr r="J34" s="5"/>
        <tr r="J35" s="5"/>
      </tp>
      <tp t="e">
        <v>#N/A</v>
        <stp/>
        <stp>BDP|11267252393163944864</stp>
        <tr r="H23" s="3"/>
        <tr r="H23" s="3"/>
        <tr r="H24" s="3"/>
        <tr r="H24" s="3"/>
        <tr r="H25" s="3"/>
        <tr r="H25" s="3"/>
        <tr r="H26" s="3"/>
        <tr r="H26" s="3"/>
        <tr r="H27" s="3"/>
        <tr r="H27" s="3"/>
        <tr r="H28" s="3"/>
        <tr r="H28" s="3"/>
        <tr r="H29" s="3"/>
        <tr r="H29" s="3"/>
        <tr r="H22" s="5"/>
        <tr r="H22" s="5"/>
        <tr r="H23" s="5"/>
        <tr r="H23" s="5"/>
        <tr r="H24" s="5"/>
        <tr r="H24" s="5"/>
        <tr r="H25" s="5"/>
        <tr r="H25" s="5"/>
      </tp>
      <tp t="e">
        <v>#N/A</v>
        <stp/>
        <stp>BDP|13273037925730641087</stp>
        <tr r="AE5" s="5"/>
      </tp>
      <tp t="e">
        <v>#N/A</v>
        <stp/>
        <stp>BDP|10706378918712135138</stp>
        <tr r="AM38" s="5"/>
        <tr r="AM38" s="5"/>
      </tp>
      <tp t="e">
        <v>#N/A</v>
        <stp/>
        <stp>BDP|15664372610515550397</stp>
        <tr r="H40" s="3"/>
        <tr r="H41" s="3"/>
        <tr r="H42" s="3"/>
        <tr r="H43" s="3"/>
        <tr r="H44" s="3"/>
        <tr r="H45" s="3"/>
        <tr r="H46" s="3"/>
        <tr r="H47" s="3"/>
        <tr r="H48" s="3"/>
        <tr r="H36" s="5"/>
        <tr r="H37" s="5"/>
      </tp>
      <tp t="e">
        <v>#N/A</v>
        <stp/>
        <stp>BDP|15565685655125239277</stp>
        <tr r="AA23" s="3"/>
        <tr r="AA24" s="3"/>
        <tr r="AA25" s="3"/>
        <tr r="AA26" s="3"/>
        <tr r="AA27" s="3"/>
        <tr r="AA28" s="3"/>
        <tr r="AA29" s="3"/>
        <tr r="AA22" s="5"/>
        <tr r="AA23" s="5"/>
        <tr r="AA24" s="5"/>
        <tr r="AA25" s="5"/>
      </tp>
      <tp t="e">
        <v>#N/A</v>
        <stp/>
        <stp>BDP|17350679288859381129</stp>
        <tr r="M38" s="3"/>
        <tr r="M38" s="3"/>
        <tr r="M39" s="3"/>
        <tr r="M39" s="3"/>
        <tr r="M32" s="5"/>
        <tr r="M32" s="5"/>
      </tp>
      <tp t="e">
        <v>#N/A</v>
        <stp/>
        <stp>BDP|13758488986479263774</stp>
        <tr r="Z13" s="3"/>
        <tr r="Z14" s="3"/>
        <tr r="Z15" s="3"/>
        <tr r="Z16" s="3"/>
        <tr r="Z13" s="5"/>
        <tr r="Z14" s="5"/>
        <tr r="Z15" s="5"/>
        <tr r="Z16" s="5"/>
        <tr r="Z17" s="5"/>
      </tp>
      <tp t="e">
        <v>#N/A</v>
        <stp/>
        <stp>BDP|14158408319605273563</stp>
        <tr r="W10" s="3"/>
        <tr r="W9" s="3"/>
        <tr r="W10" s="5"/>
        <tr r="W11" s="5"/>
      </tp>
      <tp t="e">
        <v>#N/A</v>
        <stp/>
        <stp>BDP|14433277271797980779</stp>
        <tr r="AL31" s="3"/>
        <tr r="AL32" s="3"/>
        <tr r="AL30" s="5"/>
      </tp>
      <tp t="e">
        <v>#N/A</v>
        <stp/>
        <stp>BDP|16935074513425702349</stp>
        <tr r="AU28" s="5"/>
        <tr r="AU28" s="5"/>
        <tr r="AU28" s="5"/>
      </tp>
      <tp t="e">
        <v>#N/A</v>
        <stp/>
        <stp>BDP|12146836613922705877</stp>
        <tr r="AO11" s="3"/>
        <tr r="AO12" s="3"/>
        <tr r="AO12" s="5"/>
      </tp>
      <tp t="e">
        <v>#N/A</v>
        <stp/>
        <stp>BDP|11646064777356358156</stp>
        <tr r="E2" s="3"/>
        <tr r="E3" s="3"/>
        <tr r="E4" s="3"/>
        <tr r="E2" s="5"/>
      </tp>
      <tp t="e">
        <v>#N/A</v>
        <stp/>
        <stp>BDP|17527354257606633605</stp>
        <tr r="AJ23" s="3"/>
        <tr r="AJ23" s="3"/>
        <tr r="AJ24" s="3"/>
        <tr r="AJ24" s="3"/>
        <tr r="AJ25" s="3"/>
        <tr r="AJ25" s="3"/>
        <tr r="AJ26" s="3"/>
        <tr r="AJ26" s="3"/>
        <tr r="AJ27" s="3"/>
        <tr r="AJ27" s="3"/>
        <tr r="AJ28" s="3"/>
        <tr r="AJ28" s="3"/>
        <tr r="AJ29" s="3"/>
        <tr r="AJ29" s="3"/>
      </tp>
      <tp t="e">
        <v>#N/A</v>
        <stp/>
        <stp>BDP|16436452733207611757</stp>
        <tr r="Y5" s="3"/>
        <tr r="Y6" s="3"/>
        <tr r="Y6" s="5"/>
      </tp>
      <tp t="e">
        <v>#N/A</v>
        <stp/>
        <stp>BDP|15680338257515552744</stp>
        <tr r="M27" s="5"/>
        <tr r="M27" s="5"/>
      </tp>
      <tp t="e">
        <v>#N/A</v>
        <stp/>
        <stp>BDP|18288790886864686290</stp>
        <tr r="AK29" s="5"/>
        <tr r="AK29" s="5"/>
        <tr r="AK29" s="5"/>
      </tp>
      <tp t="e">
        <v>#N/A</v>
        <stp/>
        <stp>BDP|14594400915935270503</stp>
        <tr r="F28" s="5"/>
      </tp>
      <tp t="e">
        <v>#N/A</v>
        <stp/>
        <stp>BDP|13611279965307760162</stp>
        <tr r="Z33" s="5"/>
      </tp>
      <tp t="e">
        <v>#N/A</v>
        <stp/>
        <stp>BDP|11967615114171002681</stp>
        <tr r="AD38" s="5"/>
      </tp>
      <tp t="e">
        <v>#N/A</v>
        <stp/>
        <stp>BDP|11591357913367376548</stp>
        <tr r="AE5" s="3"/>
        <tr r="AE6" s="3"/>
        <tr r="AE6" s="5"/>
      </tp>
      <tp t="e">
        <v>#N/A</v>
        <stp/>
        <stp>BDP|18124802464764121322</stp>
        <tr r="AT5" s="5"/>
      </tp>
      <tp t="e">
        <v>#N/A</v>
        <stp/>
        <stp>BDP|11866034132411857274</stp>
        <tr r="F30" s="3"/>
      </tp>
      <tp t="e">
        <v>#N/A</v>
        <stp/>
        <stp>BDP|15267080350877153127</stp>
        <tr r="N3" s="5"/>
        <tr r="N4" s="5"/>
      </tp>
      <tp t="e">
        <v>#N/A</v>
        <stp/>
        <stp>BDP|16517023237612068186</stp>
        <tr r="AU21" s="5"/>
        <tr r="AU21" s="5"/>
        <tr r="AU21" s="5"/>
      </tp>
      <tp t="e">
        <v>#N/A</v>
        <stp/>
        <stp>BDP|17039344545905221385</stp>
        <tr r="AD33" s="5"/>
      </tp>
      <tp t="e">
        <v>#N/A</v>
        <stp/>
        <stp>BDP|17105148319378276950</stp>
        <tr r="H21" s="5"/>
        <tr r="H21" s="5"/>
      </tp>
      <tp t="e">
        <v>#N/A</v>
        <stp/>
        <stp>BDP|12678435158644019173</stp>
        <tr r="AJ40" s="3"/>
        <tr r="AJ40" s="3"/>
        <tr r="AJ41" s="3"/>
        <tr r="AJ41" s="3"/>
        <tr r="AJ42" s="3"/>
        <tr r="AJ42" s="3"/>
        <tr r="AJ43" s="3"/>
        <tr r="AJ43" s="3"/>
        <tr r="AJ44" s="3"/>
        <tr r="AJ44" s="3"/>
        <tr r="AJ45" s="3"/>
        <tr r="AJ45" s="3"/>
        <tr r="AJ46" s="3"/>
        <tr r="AJ46" s="3"/>
        <tr r="AJ47" s="3"/>
        <tr r="AJ47" s="3"/>
        <tr r="AJ48" s="3"/>
        <tr r="AJ48" s="3"/>
        <tr r="AJ36" s="5"/>
        <tr r="AJ36" s="5"/>
      </tp>
      <tp t="e">
        <v>#N/A</v>
        <stp/>
        <stp>BDP|14709637279041763273</stp>
        <tr r="F13" s="3"/>
        <tr r="F14" s="3"/>
        <tr r="F15" s="3"/>
        <tr r="F16" s="3"/>
        <tr r="F13" s="5"/>
        <tr r="F14" s="5"/>
        <tr r="F15" s="5"/>
        <tr r="F16" s="5"/>
        <tr r="F17" s="5"/>
      </tp>
      <tp t="e">
        <v>#N/A</v>
        <stp/>
        <stp>BDP|13783141855356973733</stp>
        <tr r="AT27" s="5"/>
      </tp>
      <tp t="e">
        <v>#N/A</v>
        <stp/>
        <stp>BDP|10831232908752349619</stp>
        <tr r="E27" s="5"/>
      </tp>
      <tp t="e">
        <v>#N/A</v>
        <stp/>
        <stp>BDP|12253679350794625320</stp>
        <tr r="L30" s="3"/>
        <tr r="L30" s="3"/>
        <tr r="AS30" s="3"/>
      </tp>
      <tp t="e">
        <v>#N/A</v>
        <stp/>
        <stp>BDP|11498432441645570229</stp>
        <tr r="Y36" s="3"/>
        <tr r="Y37" s="3"/>
      </tp>
      <tp t="e">
        <v>#N/A</v>
        <stp/>
        <stp>BDP|12715683911222729181</stp>
        <tr r="I33" s="3"/>
        <tr r="I34" s="3"/>
        <tr r="I35" s="3"/>
        <tr r="I31" s="5"/>
      </tp>
      <tp t="e">
        <v>#N/A</v>
        <stp/>
        <stp>BDP|13013791529356597659</stp>
        <tr r="V36" s="3"/>
        <tr r="V37" s="3"/>
      </tp>
      <tp t="e">
        <v>#N/A</v>
        <stp/>
        <stp>BDP|16037333005031436200</stp>
        <tr r="M5" s="3"/>
        <tr r="M5" s="3"/>
        <tr r="M6" s="3"/>
        <tr r="M6" s="3"/>
        <tr r="M6" s="5"/>
        <tr r="M6" s="5"/>
      </tp>
      <tp t="e">
        <v>#N/A</v>
        <stp/>
        <stp>BDP|17243485949237566644</stp>
        <tr r="S40" s="3"/>
        <tr r="AF40" s="3"/>
        <tr r="AP40" s="3"/>
        <tr r="R40" s="3"/>
        <tr r="S41" s="3"/>
        <tr r="AF41" s="3"/>
        <tr r="AP41" s="3"/>
        <tr r="R41" s="3"/>
        <tr r="S42" s="3"/>
        <tr r="AF42" s="3"/>
        <tr r="AP42" s="3"/>
        <tr r="R42" s="3"/>
        <tr r="S43" s="3"/>
        <tr r="AF43" s="3"/>
        <tr r="AP43" s="3"/>
        <tr r="R43" s="3"/>
        <tr r="S44" s="3"/>
        <tr r="AF44" s="3"/>
        <tr r="AP44" s="3"/>
        <tr r="R44" s="3"/>
        <tr r="S45" s="3"/>
        <tr r="R45" s="3"/>
        <tr r="AP45" s="3"/>
        <tr r="AF45" s="3"/>
        <tr r="S46" s="3"/>
        <tr r="AF46" s="3"/>
        <tr r="AP46" s="3"/>
        <tr r="R46" s="3"/>
        <tr r="S47" s="3"/>
        <tr r="AF47" s="3"/>
        <tr r="AP47" s="3"/>
        <tr r="R47" s="3"/>
        <tr r="S48" s="3"/>
        <tr r="AF48" s="3"/>
        <tr r="AP48" s="3"/>
        <tr r="R48" s="3"/>
        <tr r="S36" s="5"/>
        <tr r="AP36" s="5"/>
        <tr r="R36" s="5"/>
        <tr r="AF36" s="5"/>
        <tr r="S37" s="5"/>
        <tr r="AP37" s="5"/>
        <tr r="AF37" s="5"/>
        <tr r="R37" s="5"/>
        <tr r="S5" s="5"/>
        <tr r="AP5" s="5"/>
        <tr r="AF5" s="5"/>
        <tr r="R5" s="5"/>
        <tr r="S38" s="5"/>
        <tr r="AP38" s="5"/>
        <tr r="AF38" s="5"/>
        <tr r="R38" s="5"/>
      </tp>
      <tp t="e">
        <v>#N/A</v>
        <stp/>
        <stp>BDP|12161944854538254062</stp>
        <tr r="M10" s="3"/>
        <tr r="M10" s="3"/>
        <tr r="M9" s="3"/>
        <tr r="M9" s="3"/>
        <tr r="M10" s="5"/>
        <tr r="M10" s="5"/>
        <tr r="M11" s="5"/>
        <tr r="M11" s="5"/>
      </tp>
      <tp t="e">
        <v>#N/A</v>
        <stp/>
        <stp>BDP|16336116112906121661</stp>
        <tr r="F7" s="3"/>
        <tr r="F7" s="5"/>
        <tr r="F8" s="5"/>
      </tp>
      <tp t="e">
        <v>#N/A</v>
        <stp/>
        <stp>BDP|14551649111526540322</stp>
        <tr r="F21" s="5"/>
      </tp>
      <tp t="e">
        <v>#N/A</v>
        <stp/>
        <stp>BDP|17105335759667544086</stp>
        <tr r="AO8" s="3"/>
        <tr r="AO9" s="5"/>
      </tp>
      <tp t="e">
        <v>#N/A</v>
        <stp/>
        <stp>BDP|15978550560523166245</stp>
        <tr r="M28" s="5"/>
        <tr r="M28" s="5"/>
      </tp>
      <tp t="e">
        <v>#N/A</v>
        <stp/>
        <stp>BDP|14529616088279583408</stp>
        <tr r="AM20" s="5"/>
        <tr r="AM20" s="5"/>
      </tp>
      <tp t="e">
        <v>#N/A</v>
        <stp/>
        <stp>BDP|11863874826055081911</stp>
        <tr r="AK10" s="3"/>
        <tr r="AK10" s="3"/>
        <tr r="AK10" s="3"/>
        <tr r="AK9" s="3"/>
        <tr r="AK9" s="3"/>
        <tr r="AK9" s="3"/>
        <tr r="AK10" s="5"/>
        <tr r="AK10" s="5"/>
        <tr r="AK10" s="5"/>
        <tr r="AK11" s="5"/>
        <tr r="AK11" s="5"/>
        <tr r="AK11" s="5"/>
      </tp>
      <tp t="e">
        <v>#N/A</v>
        <stp/>
        <stp>BDP|13273535718345243539</stp>
        <tr r="Z17" s="3"/>
        <tr r="Z18" s="3"/>
        <tr r="Z19" s="3"/>
        <tr r="Z20" s="3"/>
        <tr r="Z21" s="3"/>
        <tr r="Z22" s="3"/>
        <tr r="Z18" s="5"/>
        <tr r="Z19" s="5"/>
      </tp>
      <tp t="e">
        <v>#N/A</v>
        <stp/>
        <stp>BDP|12040585546353288770</stp>
        <tr r="AS33" s="5"/>
      </tp>
      <tp t="e">
        <v>#N/A</v>
        <stp/>
        <stp>BDP|14932656101870563532</stp>
        <tr r="W29" s="5"/>
      </tp>
      <tp t="e">
        <v>#N/A</v>
        <stp/>
        <stp>BDP|17043205326309975948</stp>
        <tr r="AT33" s="3"/>
        <tr r="AT34" s="3"/>
        <tr r="AT35" s="3"/>
        <tr r="AT31" s="5"/>
      </tp>
      <tp t="e">
        <v>#N/A</v>
        <stp/>
        <stp>BDP|15891700524865127261</stp>
        <tr r="AL26" s="5"/>
      </tp>
      <tp t="e">
        <v>#N/A</v>
        <stp/>
        <stp>BDP|10221703918873609278</stp>
        <tr r="I26" s="5"/>
      </tp>
      <tp t="e">
        <v>#N/A</v>
        <stp/>
        <stp>BDP|17949387761307313290</stp>
        <tr r="I31" s="3"/>
        <tr r="I32" s="3"/>
        <tr r="I30" s="5"/>
      </tp>
      <tp t="e">
        <v>#N/A</v>
        <stp/>
        <stp>BDP|13849841166243685908</stp>
        <tr r="K5" s="5"/>
      </tp>
      <tp t="e">
        <v>#N/A</v>
        <stp/>
        <stp>BDP|16010135137162394194</stp>
        <tr r="W13" s="3"/>
        <tr r="W14" s="3"/>
        <tr r="W15" s="3"/>
        <tr r="W16" s="3"/>
        <tr r="W13" s="5"/>
        <tr r="W14" s="5"/>
        <tr r="W15" s="5"/>
        <tr r="W16" s="5"/>
        <tr r="W17" s="5"/>
      </tp>
      <tp t="e">
        <v>#N/A</v>
        <stp/>
        <stp>BDP|15457765361955385608</stp>
        <tr r="AK20" s="5"/>
        <tr r="AK20" s="5"/>
        <tr r="AK20" s="5"/>
      </tp>
      <tp t="e">
        <v>#N/A</v>
        <stp/>
        <stp>BDP|11107449521287262747</stp>
        <tr r="AK23" s="3"/>
        <tr r="AK23" s="3"/>
        <tr r="AK23" s="3"/>
        <tr r="AK24" s="3"/>
        <tr r="AK24" s="3"/>
        <tr r="AK24" s="3"/>
        <tr r="AK25" s="3"/>
        <tr r="AK25" s="3"/>
        <tr r="AK25" s="3"/>
        <tr r="AK26" s="3"/>
        <tr r="AK26" s="3"/>
        <tr r="AK26" s="3"/>
        <tr r="AK27" s="3"/>
        <tr r="AK27" s="3"/>
        <tr r="AK27" s="3"/>
        <tr r="AK28" s="3"/>
        <tr r="AK28" s="3"/>
        <tr r="AK28" s="3"/>
        <tr r="AK29" s="3"/>
        <tr r="AK29" s="3"/>
        <tr r="AK29" s="3"/>
        <tr r="AK22" s="5"/>
        <tr r="AK22" s="5"/>
        <tr r="AK22" s="5"/>
        <tr r="AK23" s="5"/>
        <tr r="AK23" s="5"/>
        <tr r="AK23" s="5"/>
        <tr r="AK24" s="5"/>
        <tr r="AK24" s="5"/>
        <tr r="AK24" s="5"/>
        <tr r="AK25" s="5"/>
        <tr r="AK25" s="5"/>
        <tr r="AK25" s="5"/>
      </tp>
      <tp t="e">
        <v>#N/A</v>
        <stp/>
        <stp>BDP|12788483618240684032</stp>
        <tr r="AA26" s="5"/>
      </tp>
      <tp t="e">
        <v>#N/A</v>
        <stp/>
        <stp>BDP|13157645284058548265</stp>
        <tr r="AM40" s="3"/>
        <tr r="AM40" s="3"/>
        <tr r="AM41" s="3"/>
        <tr r="AM41" s="3"/>
        <tr r="AM42" s="3"/>
        <tr r="AM42" s="3"/>
        <tr r="AM43" s="3"/>
        <tr r="AM43" s="3"/>
        <tr r="AM44" s="3"/>
        <tr r="AM44" s="3"/>
        <tr r="AM45" s="3"/>
        <tr r="AM45" s="3"/>
        <tr r="AM46" s="3"/>
        <tr r="AM46" s="3"/>
        <tr r="AM47" s="3"/>
        <tr r="AM47" s="3"/>
        <tr r="AM48" s="3"/>
        <tr r="AM48" s="3"/>
        <tr r="AM36" s="5"/>
        <tr r="AM36" s="5"/>
        <tr r="AM37" s="5"/>
        <tr r="AM37" s="5"/>
      </tp>
      <tp t="e">
        <v>#N/A</v>
        <stp/>
        <stp>BDP|17308030780100130846</stp>
        <tr r="Z21" s="5"/>
      </tp>
      <tp t="e">
        <v>#N/A</v>
        <stp/>
        <stp>BDP|12578202042446584557</stp>
        <tr r="N31" s="3"/>
        <tr r="N32" s="3"/>
        <tr r="N30" s="5"/>
      </tp>
      <tp t="e">
        <v>#N/A</v>
        <stp/>
        <stp>BDP|16936517144957364785</stp>
        <tr r="H38" s="5"/>
        <tr r="H38" s="5"/>
      </tp>
      <tp t="e">
        <v>#N/A</v>
        <stp/>
        <stp>BDP|11801670679023577450</stp>
        <tr r="H38" s="5"/>
        <tr r="H38" s="5"/>
      </tp>
      <tp t="e">
        <v>#N/A</v>
        <stp/>
        <stp>BDP|14725373865460547586</stp>
        <tr r="AE2" s="3"/>
        <tr r="AE3" s="3"/>
        <tr r="AE4" s="3"/>
        <tr r="AE2" s="5"/>
      </tp>
      <tp t="e">
        <v>#N/A</v>
        <stp/>
        <stp>BDP|13263292611782269603</stp>
        <tr r="AK21" s="5"/>
        <tr r="AK21" s="5"/>
        <tr r="AK21" s="5"/>
      </tp>
      <tp t="e">
        <v>#N/A</v>
        <stp/>
        <stp>BDP|14720410477196458585</stp>
        <tr r="K27" s="5"/>
      </tp>
      <tp t="e">
        <v>#N/A</v>
        <stp/>
        <stp>BDP|11150426058826498226</stp>
        <tr r="E23" s="3"/>
        <tr r="E24" s="3"/>
        <tr r="E25" s="3"/>
        <tr r="E26" s="3"/>
        <tr r="E27" s="3"/>
        <tr r="E28" s="3"/>
        <tr r="E29" s="3"/>
        <tr r="E22" s="5"/>
        <tr r="E23" s="5"/>
        <tr r="E24" s="5"/>
        <tr r="E25" s="5"/>
      </tp>
      <tp t="e">
        <v>#N/A</v>
        <stp/>
        <stp>BDP|15424449638466646022</stp>
        <tr r="AS35" s="5"/>
        <tr r="AS34" s="5"/>
        <tr r="L35" s="5"/>
        <tr r="L35" s="5"/>
        <tr r="L34" s="5"/>
        <tr r="L34" s="5"/>
      </tp>
      <tp t="e">
        <v>#N/A</v>
        <stp/>
        <stp>BDP|14600983891937378703</stp>
        <tr r="K13" s="3"/>
        <tr r="K14" s="3"/>
        <tr r="K15" s="3"/>
        <tr r="K16" s="3"/>
        <tr r="K13" s="5"/>
        <tr r="K14" s="5"/>
        <tr r="K15" s="5"/>
        <tr r="K16" s="5"/>
        <tr r="K17" s="5"/>
      </tp>
      <tp t="e">
        <v>#N/A</v>
        <stp/>
        <stp>BDP|13618878451222869849</stp>
        <tr r="F27" s="5"/>
      </tp>
      <tp t="e">
        <v>#N/A</v>
        <stp/>
        <stp>BDP|13362198718243965450</stp>
        <tr r="F26" s="5"/>
      </tp>
      <tp t="e">
        <v>#N/A</v>
        <stp/>
        <stp>BDP|16591670162366878461</stp>
        <tr r="V5" s="3"/>
        <tr r="V6" s="3"/>
        <tr r="V6" s="5"/>
      </tp>
      <tp t="s">
        <v>#N/A N/A</v>
        <stp/>
        <stp>BDP|14661164907290145154</stp>
        <tr r="J38" s="5"/>
      </tp>
      <tp t="e">
        <v>#N/A</v>
        <stp/>
        <stp>BDP|16312164397513258956</stp>
        <tr r="H7" s="3"/>
        <tr r="H7" s="3"/>
        <tr r="H7" s="5"/>
        <tr r="H7" s="5"/>
        <tr r="H8" s="5"/>
        <tr r="H8" s="5"/>
      </tp>
      <tp t="e">
        <v>#N/A</v>
        <stp/>
        <stp>BDP|11251557870325571277</stp>
        <tr r="AU3" s="5"/>
        <tr r="AU3" s="5"/>
        <tr r="AU3" s="5"/>
        <tr r="AU4" s="5"/>
        <tr r="AU4" s="5"/>
        <tr r="AU4" s="5"/>
      </tp>
      <tp t="e">
        <v>#N/A</v>
        <stp/>
        <stp>BDP|17744786651898302998</stp>
        <tr r="I29" s="5"/>
      </tp>
      <tp t="e">
        <v>#N/A</v>
        <stp/>
        <stp>BDP|17725024223498389931</stp>
        <tr r="AU27" s="5"/>
        <tr r="AU27" s="5"/>
        <tr r="AU27" s="5"/>
      </tp>
      <tp t="e">
        <v>#N/A</v>
        <stp/>
        <stp>BDP|15652252944955028212</stp>
        <tr r="I13" s="3"/>
        <tr r="I14" s="3"/>
        <tr r="I15" s="3"/>
        <tr r="I16" s="3"/>
        <tr r="I13" s="5"/>
        <tr r="I14" s="5"/>
        <tr r="I15" s="5"/>
        <tr r="I16" s="5"/>
        <tr r="I17" s="5"/>
      </tp>
      <tp t="e">
        <v>#N/A</v>
        <stp/>
        <stp>BDP|16744038010015454667</stp>
        <tr r="AT28" s="5"/>
      </tp>
      <tp t="e">
        <v>#N/A</v>
        <stp/>
        <stp>BDP|16987876613303217890</stp>
        <tr r="M7" s="3"/>
        <tr r="M7" s="3"/>
        <tr r="M7" s="5"/>
        <tr r="M7" s="5"/>
        <tr r="M8" s="5"/>
        <tr r="M8" s="5"/>
      </tp>
      <tp t="e">
        <v>#N/A</v>
        <stp/>
        <stp>BDP|13425333527727663105</stp>
        <tr r="AO2" s="3"/>
        <tr r="AO3" s="3"/>
        <tr r="AO4" s="3"/>
        <tr r="AO2" s="5"/>
      </tp>
      <tp t="e">
        <v>#N/A</v>
        <stp/>
        <stp>BDP|12863582792762272992</stp>
        <tr r="AE26" s="5"/>
      </tp>
      <tp t="e">
        <v>#N/A</v>
        <stp/>
        <stp>BDP|14326715433984986130</stp>
        <tr r="AL20" s="5"/>
      </tp>
      <tp t="e">
        <v>#N/A</v>
        <stp/>
        <stp>BDP|17466777034800518681</stp>
        <tr r="AJ17" s="3"/>
        <tr r="AJ17" s="3"/>
        <tr r="AJ18" s="3"/>
        <tr r="AJ18" s="3"/>
        <tr r="AJ19" s="3"/>
        <tr r="AJ19" s="3"/>
        <tr r="AJ20" s="3"/>
        <tr r="AJ20" s="3"/>
        <tr r="AJ21" s="3"/>
        <tr r="AJ21" s="3"/>
        <tr r="AJ22" s="3"/>
        <tr r="AJ22" s="3"/>
      </tp>
      <tp t="e">
        <v>#N/A</v>
        <stp/>
        <stp>BDP|14712328468424403031</stp>
        <tr r="Y33" s="5"/>
      </tp>
      <tp t="e">
        <v>#N/A</v>
        <stp/>
        <stp>BDP|14224671619050968688</stp>
        <tr r="AK7" s="3"/>
        <tr r="AK7" s="3"/>
        <tr r="AK7" s="3"/>
        <tr r="AK7" s="5"/>
        <tr r="AK7" s="5"/>
        <tr r="AK7" s="5"/>
        <tr r="AK8" s="5"/>
        <tr r="AK8" s="5"/>
        <tr r="AK8" s="5"/>
      </tp>
      <tp t="e">
        <v>#N/A</v>
        <stp/>
        <stp>BDP|18072749589446649477</stp>
        <tr r="AM5" s="5"/>
        <tr r="AM5" s="5"/>
      </tp>
      <tp t="e">
        <v>#N/A</v>
        <stp/>
        <stp>BDP|10948193479171503234</stp>
        <tr r="F5" s="3"/>
        <tr r="F6" s="3"/>
        <tr r="F6" s="5"/>
      </tp>
      <tp t="e">
        <v>#N/A</v>
        <stp/>
        <stp>BDP|11376984876832618854</stp>
        <tr r="AE21" s="5"/>
      </tp>
      <tp t="e">
        <v>#N/A</v>
        <stp/>
        <stp>BDP|10352301371852619355</stp>
        <tr r="AL2" s="3"/>
        <tr r="AL3" s="3"/>
        <tr r="AL4" s="3"/>
        <tr r="AL2" s="5"/>
      </tp>
      <tp t="e">
        <v>#N/A</v>
        <stp/>
        <stp>BDP|13089061532287006256</stp>
        <tr r="AA17" s="3"/>
        <tr r="AA18" s="3"/>
        <tr r="AA19" s="3"/>
        <tr r="AA20" s="3"/>
        <tr r="AA21" s="3"/>
        <tr r="AA22" s="3"/>
        <tr r="AA18" s="5"/>
        <tr r="AA19" s="5"/>
      </tp>
      <tp t="e">
        <v>#N/A</v>
        <stp/>
        <stp>BDP|14010385941625184387</stp>
        <tr r="V11" s="3"/>
        <tr r="V12" s="3"/>
        <tr r="V12" s="5"/>
      </tp>
      <tp t="e">
        <v>#N/A</v>
        <stp/>
        <stp>BDP|13490204146248533879</stp>
        <tr r="AS38" s="3"/>
        <tr r="AS39" s="3"/>
        <tr r="AS32" s="5"/>
      </tp>
      <tp t="e">
        <v>#N/A</v>
        <stp/>
        <stp>BDP|15426574833182365402</stp>
        <tr r="AU8" s="3"/>
        <tr r="AU8" s="3"/>
        <tr r="AU8" s="3"/>
        <tr r="AU9" s="5"/>
        <tr r="AU9" s="5"/>
        <tr r="AU9" s="5"/>
      </tp>
      <tp t="e">
        <v>#N/A</v>
        <stp/>
        <stp>BDP|10211172840024678406</stp>
        <tr r="E36" s="3"/>
        <tr r="E37" s="3"/>
      </tp>
      <tp t="e">
        <v>#N/A</v>
        <stp/>
        <stp>BDP|12677473777182598610</stp>
        <tr r="AS3" s="5"/>
        <tr r="AS4" s="5"/>
      </tp>
      <tp t="e">
        <v>#N/A</v>
        <stp/>
        <stp>BDP|16473960991575084618</stp>
        <tr r="AJ11" s="3"/>
        <tr r="AJ11" s="3"/>
        <tr r="AJ12" s="3"/>
        <tr r="AJ12" s="3"/>
      </tp>
      <tp t="e">
        <v>#N/A</v>
        <stp/>
        <stp>BDP|14511078257604400038</stp>
        <tr r="W34" s="5"/>
        <tr r="W35" s="5"/>
      </tp>
      <tp t="e">
        <v>#N/A</v>
        <stp/>
        <stp>BDP|14861594153199979890</stp>
        <tr r="E13" s="3"/>
        <tr r="E14" s="3"/>
        <tr r="E15" s="3"/>
        <tr r="E16" s="3"/>
        <tr r="E13" s="5"/>
        <tr r="E14" s="5"/>
        <tr r="E15" s="5"/>
        <tr r="E16" s="5"/>
        <tr r="E17" s="5"/>
      </tp>
      <tp t="e">
        <v>#N/A</v>
        <stp/>
        <stp>BDP|15698210137827266678</stp>
        <tr r="M21" s="5"/>
        <tr r="M21" s="5"/>
      </tp>
      <tp t="e">
        <v>#N/A</v>
        <stp/>
        <stp>BDP|10796227652845735753</stp>
        <tr r="AA38" s="5"/>
      </tp>
      <tp t="e">
        <v>#N/A</v>
        <stp/>
        <stp>BDP|16392903182726015449</stp>
        <tr r="K7" s="3"/>
        <tr r="K7" s="5"/>
        <tr r="K8" s="5"/>
      </tp>
      <tp t="e">
        <v>#N/A</v>
        <stp/>
        <stp>BDP|15859623810647797093</stp>
        <tr r="AJ5" s="3"/>
        <tr r="AJ5" s="3"/>
        <tr r="AJ6" s="3"/>
        <tr r="AJ6" s="3"/>
      </tp>
      <tp t="e">
        <v>#N/A</v>
        <stp/>
        <stp>BDP|17577777836954437276</stp>
        <tr r="Q2" s="3"/>
        <tr r="Q3" s="3"/>
        <tr r="Q4" s="3"/>
        <tr r="Q2" s="5"/>
      </tp>
      <tp t="e">
        <v>#N/A</v>
        <stp/>
        <stp>BDP|16068314611469630813</stp>
        <tr r="AE17" s="3"/>
        <tr r="AE18" s="3"/>
        <tr r="AE19" s="3"/>
        <tr r="AE20" s="3"/>
        <tr r="AE21" s="3"/>
        <tr r="AE22" s="3"/>
        <tr r="AE18" s="5"/>
        <tr r="AE19" s="5"/>
      </tp>
      <tp t="e">
        <v>#N/A</v>
        <stp/>
        <stp>BDP|10043345213867472052</stp>
        <tr r="F33" s="5"/>
      </tp>
    </main>
    <main first="bofaddin.rtdserver">
      <tp t="e">
        <v>#N/A</v>
        <stp/>
        <stp>BDP|2800501420408787154</stp>
        <tr r="AS40" s="3"/>
        <tr r="AS41" s="3"/>
        <tr r="AS42" s="3"/>
        <tr r="AS43" s="3"/>
        <tr r="AS44" s="3"/>
        <tr r="AS45" s="3"/>
        <tr r="AS46" s="3"/>
        <tr r="AS47" s="3"/>
        <tr r="AS48" s="3"/>
        <tr r="L40" s="3"/>
        <tr r="L40" s="3"/>
        <tr r="L41" s="3"/>
        <tr r="L41" s="3"/>
        <tr r="L42" s="3"/>
        <tr r="L42" s="3"/>
        <tr r="L43" s="3"/>
        <tr r="L43" s="3"/>
        <tr r="L44" s="3"/>
        <tr r="L44" s="3"/>
        <tr r="L45" s="3"/>
        <tr r="L45" s="3"/>
        <tr r="L46" s="3"/>
        <tr r="L46" s="3"/>
        <tr r="L47" s="3"/>
        <tr r="L47" s="3"/>
        <tr r="L48" s="3"/>
        <tr r="L48" s="3"/>
        <tr r="AS36" s="5"/>
        <tr r="AS37" s="5"/>
        <tr r="L36" s="5"/>
        <tr r="L36" s="5"/>
        <tr r="L37" s="5"/>
        <tr r="L37" s="5"/>
      </tp>
      <tp t="e">
        <v>#N/A</v>
        <stp/>
        <stp>BDP|9137072058861563119</stp>
        <tr r="AS17" s="3"/>
        <tr r="AS18" s="3"/>
        <tr r="AS19" s="3"/>
        <tr r="AS20" s="3"/>
        <tr r="AS21" s="3"/>
        <tr r="AS22" s="3"/>
        <tr r="L17" s="3"/>
        <tr r="L17" s="3"/>
        <tr r="L18" s="3"/>
        <tr r="L18" s="3"/>
        <tr r="L19" s="3"/>
        <tr r="L19" s="3"/>
        <tr r="L20" s="3"/>
        <tr r="L20" s="3"/>
        <tr r="L21" s="3"/>
        <tr r="L21" s="3"/>
        <tr r="L22" s="3"/>
        <tr r="L22" s="3"/>
        <tr r="AS18" s="5"/>
        <tr r="AS19" s="5"/>
        <tr r="L18" s="5"/>
        <tr r="L18" s="5"/>
        <tr r="L19" s="5"/>
        <tr r="L19" s="5"/>
      </tp>
      <tp t="e">
        <v>#N/A</v>
        <stp/>
        <stp>BDP|8262509419917486777</stp>
        <tr r="H17" s="3"/>
        <tr r="H18" s="3"/>
        <tr r="H19" s="3"/>
        <tr r="H20" s="3"/>
        <tr r="H21" s="3"/>
        <tr r="H22" s="3"/>
        <tr r="H18" s="5"/>
        <tr r="H19" s="5"/>
      </tp>
      <tp t="e">
        <v>#N/A</v>
        <stp/>
        <stp>BDP|3485390895196063307</stp>
        <tr r="H40" s="3"/>
        <tr r="H40" s="3"/>
        <tr r="H41" s="3"/>
        <tr r="H41" s="3"/>
        <tr r="H42" s="3"/>
        <tr r="H42" s="3"/>
        <tr r="H43" s="3"/>
        <tr r="H43" s="3"/>
        <tr r="H44" s="3"/>
        <tr r="H44" s="3"/>
        <tr r="H45" s="3"/>
        <tr r="H45" s="3"/>
        <tr r="H46" s="3"/>
        <tr r="H46" s="3"/>
        <tr r="H47" s="3"/>
        <tr r="H47" s="3"/>
        <tr r="H48" s="3"/>
        <tr r="H48" s="3"/>
        <tr r="H36" s="5"/>
        <tr r="H36" s="5"/>
        <tr r="H37" s="5"/>
        <tr r="H37" s="5"/>
      </tp>
      <tp t="e">
        <v>#N/A</v>
        <stp/>
        <stp>BDP|8242016378143118029</stp>
        <tr r="AA40" s="3"/>
        <tr r="AA41" s="3"/>
        <tr r="AA42" s="3"/>
        <tr r="AA43" s="3"/>
        <tr r="AA44" s="3"/>
        <tr r="AA45" s="3"/>
        <tr r="AA46" s="3"/>
        <tr r="AA47" s="3"/>
        <tr r="AA48" s="3"/>
        <tr r="AA36" s="5"/>
        <tr r="AA37" s="5"/>
      </tp>
      <tp t="e">
        <v>#N/A</v>
        <stp/>
        <stp>BDP|5527375498211003256</stp>
        <tr r="AK27" s="5"/>
        <tr r="AK27" s="5"/>
        <tr r="AK27" s="5"/>
      </tp>
      <tp t="e">
        <v>#N/A</v>
        <stp/>
        <stp>BDP|7705695172599304339</stp>
        <tr r="W33" s="3"/>
        <tr r="W34" s="3"/>
        <tr r="W35" s="3"/>
        <tr r="W31" s="5"/>
      </tp>
      <tp t="e">
        <v>#N/A</v>
        <stp/>
        <stp>BDP|3324840318932244415</stp>
        <tr r="X40" s="3"/>
        <tr r="X41" s="3"/>
        <tr r="X42" s="3"/>
        <tr r="X43" s="3"/>
        <tr r="X44" s="3"/>
        <tr r="X45" s="3"/>
        <tr r="X46" s="3"/>
        <tr r="X47" s="3"/>
        <tr r="X48" s="3"/>
        <tr r="X36" s="5"/>
        <tr r="X37" s="5"/>
      </tp>
      <tp t="e">
        <v>#N/A</v>
        <stp/>
        <stp>BDP|3823419174189774563</stp>
        <tr r="N21" s="5"/>
      </tp>
      <tp t="e">
        <v>#N/A</v>
        <stp/>
        <stp>BDP|9356707645460874634</stp>
        <tr r="X38" s="3"/>
        <tr r="X39" s="3"/>
        <tr r="X32" s="5"/>
      </tp>
      <tp t="e">
        <v>#N/A</v>
        <stp/>
        <stp>BDP|9750047524462341595</stp>
        <tr r="K20" s="5"/>
      </tp>
      <tp t="e">
        <v>#N/A</v>
        <stp/>
        <stp>BDP|8453988698284321050</stp>
        <tr r="I3" s="5"/>
        <tr r="I4" s="5"/>
      </tp>
      <tp t="e">
        <v>#N/A</v>
        <stp/>
        <stp>BDP|5825393943476598844</stp>
        <tr r="I10" s="3"/>
        <tr r="I9" s="3"/>
        <tr r="I10" s="5"/>
        <tr r="I11" s="5"/>
      </tp>
      <tp t="e">
        <v>#N/A</v>
        <stp/>
        <stp>BDP|4949998490458487075</stp>
        <tr r="X2" s="3"/>
        <tr r="X3" s="3"/>
        <tr r="X4" s="3"/>
        <tr r="X2" s="5"/>
      </tp>
      <tp t="e">
        <v>#N/A</v>
        <stp/>
        <stp>BDP|1337698916548321296</stp>
        <tr r="AT26" s="5"/>
      </tp>
      <tp t="e">
        <v>#N/A</v>
        <stp/>
        <stp>BDP|8910622038591004047</stp>
        <tr r="AD23" s="3"/>
        <tr r="AD24" s="3"/>
        <tr r="AD25" s="3"/>
        <tr r="AD26" s="3"/>
        <tr r="AD27" s="3"/>
        <tr r="AD28" s="3"/>
        <tr r="AD29" s="3"/>
        <tr r="AD22" s="5"/>
        <tr r="AD23" s="5"/>
        <tr r="AD24" s="5"/>
        <tr r="AD25" s="5"/>
      </tp>
      <tp t="e">
        <v>#N/A</v>
        <stp/>
        <stp>BDP|6312029749557412986</stp>
        <tr r="F20" s="5"/>
      </tp>
      <tp t="e">
        <v>#N/A</v>
        <stp/>
        <stp>BDP|5148370251208726740</stp>
        <tr r="AA28" s="5"/>
      </tp>
      <tp t="e">
        <v>#N/A</v>
        <stp/>
        <stp>BDP|5647605528719085555</stp>
        <tr r="AM13" s="3"/>
        <tr r="AM13" s="3"/>
        <tr r="AM14" s="3"/>
        <tr r="AM14" s="3"/>
        <tr r="AM15" s="3"/>
        <tr r="AM15" s="3"/>
        <tr r="AM16" s="3"/>
        <tr r="AM16" s="3"/>
        <tr r="AM13" s="5"/>
        <tr r="AM13" s="5"/>
        <tr r="AM14" s="5"/>
        <tr r="AM14" s="5"/>
        <tr r="AM15" s="5"/>
        <tr r="AM15" s="5"/>
        <tr r="AM16" s="5"/>
        <tr r="AM16" s="5"/>
        <tr r="AM17" s="5"/>
        <tr r="AM17" s="5"/>
      </tp>
      <tp t="e">
        <v>#N/A</v>
        <stp/>
        <stp>BDP|3994450789532692086</stp>
        <tr r="AU20" s="5"/>
        <tr r="AU20" s="5"/>
        <tr r="AU20" s="5"/>
      </tp>
      <tp t="e">
        <v>#N/A</v>
        <stp/>
        <stp>BDP|7216677898441413416</stp>
        <tr r="AM26" s="5"/>
        <tr r="AM26" s="5"/>
      </tp>
      <tp t="e">
        <v>#N/A</v>
        <stp/>
        <stp>BDP|8739848030387249989</stp>
        <tr r="H11" s="3"/>
        <tr r="H11" s="3"/>
        <tr r="H12" s="3"/>
        <tr r="H12" s="3"/>
        <tr r="H12" s="5"/>
        <tr r="H12" s="5"/>
      </tp>
      <tp t="e">
        <v>#N/A</v>
        <stp/>
        <stp>BDP|8966659568754289185</stp>
        <tr r="AA8" s="3"/>
        <tr r="AA9" s="5"/>
      </tp>
      <tp t="e">
        <v>#N/A</v>
        <stp/>
        <stp>BDP|9242399674123416344</stp>
        <tr r="AO38" s="5"/>
      </tp>
      <tp t="s">
        <v>#N/A N/A</v>
        <stp/>
        <stp>BDP|9375465134951499298</stp>
        <tr r="J3" s="5"/>
        <tr r="J4" s="5"/>
      </tp>
      <tp t="e">
        <v>#N/A</v>
        <stp/>
        <stp>BDP|4879341710542670975</stp>
        <tr r="AM33" s="5"/>
        <tr r="AM33" s="5"/>
      </tp>
      <tp t="e">
        <v>#N/A</v>
        <stp/>
        <stp>BDP|2437921923462161695</stp>
        <tr r="AK28" s="5"/>
        <tr r="AK28" s="5"/>
        <tr r="AK28" s="5"/>
      </tp>
      <tp t="e">
        <v>#N/A</v>
        <stp/>
        <stp>BDP|3237340586015459092</stp>
        <tr r="H20" s="5"/>
        <tr r="H20" s="5"/>
      </tp>
      <tp t="e">
        <v>#N/A</v>
        <stp/>
        <stp>BDP|2743111044973569951</stp>
        <tr r="V5" s="5"/>
      </tp>
      <tp t="e">
        <v>#N/A</v>
        <stp/>
        <stp>BDP|6584903366082171602</stp>
        <tr r="AE13" s="3"/>
        <tr r="AE14" s="3"/>
        <tr r="AE15" s="3"/>
        <tr r="AE16" s="3"/>
        <tr r="AE13" s="5"/>
        <tr r="AE14" s="5"/>
        <tr r="AE15" s="5"/>
        <tr r="AE16" s="5"/>
        <tr r="AE17" s="5"/>
      </tp>
      <tp t="e">
        <v>#N/A</v>
        <stp/>
        <stp>BDP|1950684293102422150</stp>
        <tr r="AE28" s="5"/>
      </tp>
      <tp t="e">
        <v>#N/A</v>
        <stp/>
        <stp>BDP|2348125066148498027</stp>
        <tr r="AL38" s="5"/>
      </tp>
      <tp t="e">
        <v>#N/A</v>
        <stp/>
        <stp>BDP|5031025672357654871</stp>
        <tr r="I7" s="3"/>
        <tr r="I7" s="5"/>
        <tr r="I8" s="5"/>
      </tp>
      <tp t="e">
        <v>#N/A</v>
        <stp/>
        <stp>BDP|1240612450017019827</stp>
        <tr r="H31" s="3"/>
        <tr r="H31" s="3"/>
        <tr r="H32" s="3"/>
        <tr r="H32" s="3"/>
        <tr r="H30" s="5"/>
        <tr r="H30" s="5"/>
      </tp>
      <tp t="e">
        <v>#N/A</v>
        <stp/>
        <stp>BDP|8993907159569341050</stp>
        <tr r="AK33" s="5"/>
        <tr r="AK33" s="5"/>
        <tr r="AK33" s="5"/>
      </tp>
      <tp t="e">
        <v>#N/A</v>
        <stp/>
        <stp>BDP|9680637227898543816</stp>
        <tr r="X34" s="5"/>
        <tr r="X35" s="5"/>
      </tp>
      <tp t="e">
        <v>#N/A</v>
        <stp/>
        <stp>BDP|3678012955178197347</stp>
        <tr r="AJ38" s="3"/>
        <tr r="AJ38" s="3"/>
        <tr r="AJ39" s="3"/>
        <tr r="AJ39" s="3"/>
      </tp>
      <tp t="e">
        <v>#N/A</v>
        <stp/>
        <stp>BDP|5177922822786767529</stp>
        <tr r="AO23" s="3"/>
        <tr r="AO24" s="3"/>
        <tr r="AO25" s="3"/>
        <tr r="AO26" s="3"/>
        <tr r="AO27" s="3"/>
        <tr r="AO28" s="3"/>
        <tr r="AO29" s="3"/>
        <tr r="AO22" s="5"/>
        <tr r="AO23" s="5"/>
        <tr r="AO24" s="5"/>
        <tr r="AO25" s="5"/>
      </tp>
      <tp t="e">
        <v>#N/A</v>
        <stp/>
        <stp>BDP|1987866876970952353</stp>
        <tr r="Q33" s="3"/>
        <tr r="Q34" s="3"/>
        <tr r="Q35" s="3"/>
        <tr r="Q31" s="5"/>
      </tp>
      <tp t="e">
        <v>#N/A</v>
        <stp/>
        <stp>BDP|8194785077051969429</stp>
        <tr r="V3" s="5"/>
        <tr r="V4" s="5"/>
      </tp>
      <tp t="e">
        <v>#N/A</v>
        <stp/>
        <stp>BDP|8777098439692856751</stp>
        <tr r="AK13" s="3"/>
        <tr r="AK13" s="3"/>
        <tr r="AK13" s="3"/>
        <tr r="AK14" s="3"/>
        <tr r="AK14" s="3"/>
        <tr r="AK14" s="3"/>
        <tr r="AK15" s="3"/>
        <tr r="AK15" s="3"/>
        <tr r="AK15" s="3"/>
        <tr r="AK16" s="3"/>
        <tr r="AK16" s="3"/>
        <tr r="AK16" s="3"/>
        <tr r="AK13" s="5"/>
        <tr r="AK13" s="5"/>
        <tr r="AK13" s="5"/>
        <tr r="AK14" s="5"/>
        <tr r="AK14" s="5"/>
        <tr r="AK14" s="5"/>
        <tr r="AK15" s="5"/>
        <tr r="AK15" s="5"/>
        <tr r="AK15" s="5"/>
        <tr r="AK16" s="5"/>
        <tr r="AK16" s="5"/>
        <tr r="AK16" s="5"/>
        <tr r="AK17" s="5"/>
        <tr r="AK17" s="5"/>
        <tr r="AK17" s="5"/>
      </tp>
      <tp t="e">
        <v>#N/A</v>
        <stp/>
        <stp>BDP|9153098981798402760</stp>
        <tr r="H11" s="3"/>
        <tr r="H12" s="3"/>
        <tr r="H12" s="5"/>
      </tp>
      <tp t="e">
        <v>#N/A</v>
        <stp/>
        <stp>BDP|3276094590056748270</stp>
        <tr r="X8" s="3"/>
        <tr r="X9" s="5"/>
      </tp>
      <tp t="s">
        <v>#N/A N/A</v>
        <stp/>
        <stp>BDP|2090394314739041768</stp>
        <tr r="J26" s="5"/>
      </tp>
      <tp t="e">
        <v>#N/A</v>
        <stp/>
        <stp>BDP|5532947346124638296</stp>
        <tr r="F33" s="3"/>
        <tr r="F34" s="3"/>
        <tr r="F35" s="3"/>
        <tr r="F31" s="5"/>
      </tp>
      <tp t="e">
        <v>#N/A</v>
        <stp/>
        <stp>BDP|1441982001206547067</stp>
        <tr r="E31" s="3"/>
        <tr r="E32" s="3"/>
        <tr r="E30" s="5"/>
      </tp>
      <tp t="e">
        <v>#N/A</v>
        <stp/>
        <stp>BDP|7583887924391288249</stp>
        <tr r="AO7" s="3"/>
        <tr r="AO7" s="5"/>
        <tr r="AO8" s="5"/>
      </tp>
      <tp t="e">
        <v>#N/A</v>
        <stp/>
        <stp>BDP|9907515454045200213</stp>
        <tr r="AM31" s="3"/>
        <tr r="AM31" s="3"/>
        <tr r="AM32" s="3"/>
        <tr r="AM32" s="3"/>
        <tr r="AM30" s="5"/>
        <tr r="AM30" s="5"/>
      </tp>
      <tp t="e">
        <v>#N/A</v>
        <stp/>
        <stp>BDP|2688142168228630301</stp>
        <tr r="Z10" s="3"/>
        <tr r="Z9" s="3"/>
        <tr r="Z10" s="5"/>
        <tr r="Z11" s="5"/>
      </tp>
      <tp t="e">
        <v>#N/A</v>
        <stp/>
        <stp>BDP|9588169078258553929</stp>
        <tr r="Y34" s="5"/>
        <tr r="Y35" s="5"/>
      </tp>
      <tp t="s">
        <v>#N/A N/A</v>
        <stp/>
        <stp>BDP|5003399794608555953</stp>
        <tr r="J8" s="3"/>
        <tr r="J9" s="5"/>
      </tp>
      <tp t="e">
        <v>#N/A</v>
        <stp/>
        <stp>BDP|8015944096225631395</stp>
        <tr r="Y38" s="3"/>
        <tr r="Y39" s="3"/>
        <tr r="Y32" s="5"/>
      </tp>
      <tp t="e">
        <v>#N/A</v>
        <stp/>
        <stp>BDP|3354674385481314209</stp>
        <tr r="AO17" s="3"/>
        <tr r="AO18" s="3"/>
        <tr r="AO19" s="3"/>
        <tr r="AO20" s="3"/>
        <tr r="AO21" s="3"/>
        <tr r="AO22" s="3"/>
        <tr r="AO18" s="5"/>
        <tr r="AO19" s="5"/>
      </tp>
      <tp t="e">
        <v>#N/A</v>
        <stp/>
        <stp>BDP|6086661851223686824</stp>
        <tr r="AM33" s="3"/>
        <tr r="AM33" s="3"/>
        <tr r="AM34" s="3"/>
        <tr r="AM34" s="3"/>
        <tr r="AM35" s="3"/>
        <tr r="AM35" s="3"/>
        <tr r="AM31" s="5"/>
        <tr r="AM31" s="5"/>
      </tp>
      <tp t="e">
        <v>#N/A</v>
        <stp/>
        <stp>BDP|5134967771707529238</stp>
        <tr r="AS31" s="3"/>
        <tr r="AS32" s="3"/>
        <tr r="AS30" s="5"/>
      </tp>
      <tp t="e">
        <v>#N/A</v>
        <stp/>
        <stp>BDP|1178331244938432033</stp>
        <tr r="AM36" s="3"/>
        <tr r="AM36" s="3"/>
        <tr r="AM37" s="3"/>
        <tr r="AM37" s="3"/>
      </tp>
      <tp t="e">
        <v>#N/A</v>
        <stp/>
        <stp>BDP|9356065640433384079</stp>
        <tr r="AU40" s="3"/>
        <tr r="AU40" s="3"/>
        <tr r="AU40" s="3"/>
        <tr r="AU41" s="3"/>
        <tr r="AU41" s="3"/>
        <tr r="AU41" s="3"/>
        <tr r="AU42" s="3"/>
        <tr r="AU42" s="3"/>
        <tr r="AU42" s="3"/>
        <tr r="AU43" s="3"/>
        <tr r="AU43" s="3"/>
        <tr r="AU43" s="3"/>
        <tr r="AU44" s="3"/>
        <tr r="AU44" s="3"/>
        <tr r="AU44" s="3"/>
        <tr r="AU45" s="3"/>
        <tr r="AU45" s="3"/>
        <tr r="AU45" s="3"/>
        <tr r="AU46" s="3"/>
        <tr r="AU46" s="3"/>
        <tr r="AU46" s="3"/>
        <tr r="AU47" s="3"/>
        <tr r="AU47" s="3"/>
        <tr r="AU47" s="3"/>
        <tr r="AU48" s="3"/>
        <tr r="AU48" s="3"/>
        <tr r="AU48" s="3"/>
        <tr r="AU36" s="5"/>
        <tr r="AU36" s="5"/>
        <tr r="AU36" s="5"/>
        <tr r="AU37" s="5"/>
        <tr r="AU37" s="5"/>
        <tr r="AU37" s="5"/>
      </tp>
      <tp t="e">
        <v>#N/A</v>
        <stp/>
        <stp>BDP|9406057078544674499</stp>
        <tr r="AS5" s="3"/>
        <tr r="AS6" s="3"/>
        <tr r="AS6" s="5"/>
      </tp>
      <tp t="s">
        <v>#N/A N/A</v>
        <stp/>
        <stp>BDP|1040807152733525119</stp>
        <tr r="J2" s="3"/>
        <tr r="J3" s="3"/>
        <tr r="J4" s="3"/>
        <tr r="J2" s="5"/>
      </tp>
      <tp t="e">
        <v>#N/A</v>
        <stp/>
        <stp>BDP|5582903598839971224</stp>
        <tr r="N26" s="5"/>
      </tp>
      <tp t="e">
        <v>#N/A</v>
        <stp/>
        <stp>BDP|9205029407804158311</stp>
        <tr r="Q33" s="5"/>
      </tp>
      <tp t="e">
        <v>#N/A</v>
        <stp/>
        <stp>BDP|4698170330468317059</stp>
        <tr r="L38" s="3"/>
        <tr r="L38" s="3"/>
        <tr r="L39" s="3"/>
        <tr r="L39" s="3"/>
        <tr r="L32" s="5"/>
        <tr r="L32" s="5"/>
        <tr r="AS38" s="3"/>
        <tr r="AS39" s="3"/>
        <tr r="AS32" s="5"/>
      </tp>
      <tp t="e">
        <v>#N/A</v>
        <stp/>
        <stp>BDP|5578177732971469808</stp>
        <tr r="L3" s="5"/>
        <tr r="L3" s="5"/>
        <tr r="L4" s="5"/>
        <tr r="L4" s="5"/>
        <tr r="AS3" s="5"/>
        <tr r="AS4" s="5"/>
      </tp>
      <tp t="e">
        <v>#N/A</v>
        <stp/>
        <stp>BDP|7150949832870341311</stp>
        <tr r="X20" s="5"/>
      </tp>
      <tp t="e">
        <v>#N/A</v>
        <stp/>
        <stp>BDP|2008287072691949862</stp>
        <tr r="M26" s="5"/>
        <tr r="M26" s="5"/>
      </tp>
      <tp t="e">
        <v>#N/A</v>
        <stp/>
        <stp>BDP|9929037580789476746</stp>
        <tr r="N5" s="3"/>
        <tr r="N6" s="3"/>
        <tr r="N6" s="5"/>
      </tp>
      <tp t="e">
        <v>#N/A</v>
        <stp/>
        <stp>BDP|7369251398467088454</stp>
        <tr r="L26" s="5"/>
        <tr r="L26" s="5"/>
        <tr r="AS26" s="5"/>
      </tp>
      <tp t="s">
        <v>#N/A N/A</v>
        <stp/>
        <stp>BDP|6896305277685056870</stp>
        <tr r="J36" s="3"/>
        <tr r="J37" s="3"/>
      </tp>
      <tp t="e">
        <v>#N/A</v>
        <stp/>
        <stp>BDP|3104939063755103691</stp>
        <tr r="AK8" s="3"/>
        <tr r="AK8" s="3"/>
        <tr r="AK8" s="3"/>
        <tr r="AK9" s="5"/>
        <tr r="AK9" s="5"/>
        <tr r="AK9" s="5"/>
      </tp>
      <tp t="e">
        <v>#N/A</v>
        <stp/>
        <stp>BDP|3019163989054659171</stp>
        <tr r="I8" s="3"/>
        <tr r="I9" s="5"/>
      </tp>
      <tp t="e">
        <v>#N/A</v>
        <stp/>
        <stp>BDP|5467938533504246490</stp>
        <tr r="AS7" s="3"/>
        <tr r="AS7" s="5"/>
        <tr r="AS8" s="5"/>
      </tp>
      <tp t="e">
        <v>#N/A</v>
        <stp/>
        <stp>BDP|8747450373682954674</stp>
        <tr r="V7" s="3"/>
        <tr r="V7" s="5"/>
        <tr r="V8" s="5"/>
      </tp>
      <tp t="e">
        <v>#N/A</v>
        <stp/>
        <stp>BDP|6381976968296852086</stp>
        <tr r="N20" s="5"/>
      </tp>
      <tp t="e">
        <v>#N/A</v>
        <stp/>
        <stp>BDP|2392860119447898381</stp>
        <tr r="V31" s="3"/>
        <tr r="V32" s="3"/>
        <tr r="V30" s="5"/>
      </tp>
      <tp t="e">
        <v>#N/A</v>
        <stp/>
        <stp>BDP|3322866478470722366</stp>
        <tr r="W7" s="3"/>
        <tr r="W7" s="5"/>
        <tr r="W8" s="5"/>
      </tp>
      <tp t="e">
        <v>#N/A</v>
        <stp/>
        <stp>BDP|8582164550860889365</stp>
        <tr r="M36" s="3"/>
        <tr r="M36" s="3"/>
        <tr r="M37" s="3"/>
        <tr r="M37" s="3"/>
      </tp>
      <tp t="e">
        <v>#N/A</v>
        <stp/>
        <stp>BDP|9439590970330791478</stp>
        <tr r="AL27" s="5"/>
      </tp>
      <tp t="e">
        <v>#N/A</v>
        <stp/>
        <stp>BDP|3948605386457397519</stp>
        <tr r="Z40" s="3"/>
        <tr r="Z41" s="3"/>
        <tr r="Z42" s="3"/>
        <tr r="Z43" s="3"/>
        <tr r="Z44" s="3"/>
        <tr r="Z45" s="3"/>
        <tr r="Z46" s="3"/>
        <tr r="Z47" s="3"/>
        <tr r="Z48" s="3"/>
        <tr r="Z36" s="5"/>
        <tr r="Z37" s="5"/>
      </tp>
      <tp t="e">
        <v>#N/A</v>
        <stp/>
        <stp>BDP|7471286024310827823</stp>
        <tr r="AE38" s="5"/>
      </tp>
      <tp t="e">
        <v>#N/A</v>
        <stp/>
        <stp>BDP|2288513605068366045</stp>
        <tr r="AJ2" s="3"/>
        <tr r="AJ2" s="3"/>
        <tr r="AJ3" s="3"/>
        <tr r="AJ3" s="3"/>
        <tr r="AJ4" s="3"/>
        <tr r="AJ4" s="3"/>
      </tp>
      <tp t="e">
        <v>#N/A</v>
        <stp/>
        <stp>BDP|8886866569099142071</stp>
        <tr r="Q8" s="3"/>
        <tr r="Q9" s="5"/>
      </tp>
      <tp t="e">
        <v>#N/A</v>
        <stp/>
        <stp>BDP|2124977850303211254</stp>
        <tr r="E17" s="3"/>
        <tr r="E18" s="3"/>
        <tr r="E19" s="3"/>
        <tr r="E20" s="3"/>
        <tr r="E21" s="3"/>
        <tr r="E22" s="3"/>
        <tr r="E18" s="5"/>
        <tr r="E19" s="5"/>
      </tp>
      <tp t="e">
        <v>#N/A</v>
        <stp/>
        <stp>BDP|6412642664238471173</stp>
        <tr r="H28" s="5"/>
      </tp>
      <tp t="e">
        <v>#N/A</v>
        <stp/>
        <stp>BDP|8591671069622842568</stp>
        <tr r="Q13" s="3"/>
        <tr r="Q14" s="3"/>
        <tr r="Q15" s="3"/>
        <tr r="Q16" s="3"/>
        <tr r="Q13" s="5"/>
        <tr r="Q14" s="5"/>
        <tr r="Q15" s="5"/>
        <tr r="Q16" s="5"/>
        <tr r="Q17" s="5"/>
      </tp>
      <tp t="e">
        <v>#N/A</v>
        <stp/>
        <stp>BDP|6816383944808897161</stp>
        <tr r="V33" s="5"/>
      </tp>
      <tp t="e">
        <v>#N/A</v>
        <stp/>
        <stp>BDP|1605368219423163833</stp>
        <tr r="AT5" s="3"/>
        <tr r="AT6" s="3"/>
        <tr r="AT6" s="5"/>
      </tp>
      <tp t="e">
        <v>#N/A</v>
        <stp/>
        <stp>BDP|4283076118069728417</stp>
        <tr r="X26" s="5"/>
      </tp>
      <tp t="e">
        <v>#N/A</v>
        <stp/>
        <stp>BDP|8131343179746452212</stp>
        <tr r="H33" s="3"/>
        <tr r="H33" s="3"/>
        <tr r="H34" s="3"/>
        <tr r="H34" s="3"/>
        <tr r="H35" s="3"/>
        <tr r="H35" s="3"/>
        <tr r="H31" s="5"/>
        <tr r="H31" s="5"/>
      </tp>
      <tp t="e">
        <v>#N/A</v>
        <stp/>
        <stp>BDP|1912317206639664316</stp>
        <tr r="I2" s="3"/>
        <tr r="I3" s="3"/>
        <tr r="I4" s="3"/>
        <tr r="I2" s="5"/>
      </tp>
      <tp t="e">
        <v>#N/A</v>
        <stp/>
        <stp>BDP|1962403396791013517</stp>
        <tr r="Q34" s="5"/>
        <tr r="Q35" s="5"/>
      </tp>
      <tp t="e">
        <v>#N/A</v>
        <stp/>
        <stp>BDP|7601915132357323295</stp>
        <tr r="E33" s="5"/>
      </tp>
      <tp t="e">
        <v>#N/A</v>
        <stp/>
        <stp>BDP|3351882575171326527</stp>
        <tr r="W3" s="5"/>
        <tr r="W4" s="5"/>
      </tp>
      <tp t="e">
        <v>#N/A</v>
        <stp/>
        <stp>BDP|8855665605866258057</stp>
        <tr r="W5" s="5"/>
      </tp>
      <tp t="e">
        <v>#N/A</v>
        <stp/>
        <stp>BDP|8999410277255364615</stp>
        <tr r="AS23" s="3"/>
        <tr r="AS24" s="3"/>
        <tr r="AS25" s="3"/>
        <tr r="AS26" s="3"/>
        <tr r="AS27" s="3"/>
        <tr r="AS28" s="3"/>
        <tr r="AS29" s="3"/>
        <tr r="AS22" s="5"/>
        <tr r="AS23" s="5"/>
        <tr r="AS24" s="5"/>
        <tr r="AS25" s="5"/>
      </tp>
      <tp t="e">
        <v>#N/A</v>
        <stp/>
        <stp>BDP|3787989847544979231</stp>
        <tr r="F38" s="3"/>
        <tr r="F39" s="3"/>
        <tr r="F32" s="5"/>
      </tp>
      <tp t="e">
        <v>#N/A</v>
        <stp/>
        <stp>BDP|3299187695407945456</stp>
        <tr r="E30" s="3"/>
      </tp>
      <tp t="e">
        <v>#N/A</v>
        <stp/>
        <stp>BDP|9853399872922685767</stp>
        <tr r="I27" s="5"/>
      </tp>
      <tp t="e">
        <v>#N/A</v>
        <stp/>
        <stp>BDP|2172695049438314029</stp>
        <tr r="AD26" s="5"/>
      </tp>
      <tp t="e">
        <v>#N/A</v>
        <stp/>
        <stp>BDP|3495429132669600520</stp>
        <tr r="E10" s="3"/>
        <tr r="E9" s="3"/>
        <tr r="E10" s="5"/>
        <tr r="E11" s="5"/>
      </tp>
      <tp t="e">
        <v>#N/A</v>
        <stp/>
        <stp>BDP|3893736669842293813</stp>
        <tr r="H13" s="3"/>
        <tr r="H14" s="3"/>
        <tr r="H15" s="3"/>
        <tr r="H16" s="3"/>
        <tr r="H13" s="5"/>
        <tr r="H14" s="5"/>
        <tr r="H15" s="5"/>
        <tr r="H16" s="5"/>
        <tr r="H17" s="5"/>
      </tp>
      <tp t="e">
        <v>#N/A</v>
        <stp/>
        <stp>BDP|6221909607466245167</stp>
        <tr r="AK36" s="3"/>
        <tr r="AK36" s="3"/>
        <tr r="AK36" s="3"/>
        <tr r="AK37" s="3"/>
        <tr r="AK37" s="3"/>
        <tr r="AK37" s="3"/>
      </tp>
      <tp t="e">
        <v>#N/A</v>
        <stp/>
        <stp>BDP|4422599768369138620</stp>
        <tr r="L8" s="3"/>
        <tr r="L8" s="3"/>
        <tr r="L9" s="5"/>
        <tr r="L9" s="5"/>
        <tr r="AS8" s="3"/>
        <tr r="AS9" s="5"/>
      </tp>
      <tp t="e">
        <v>#N/A</v>
        <stp/>
        <stp>BDP|3655906165401498532</stp>
        <tr r="N5" s="5"/>
      </tp>
      <tp t="e">
        <v>#N/A</v>
        <stp/>
        <stp>BDP|4587339923854671970</stp>
        <tr r="AT23" s="3"/>
        <tr r="AT24" s="3"/>
        <tr r="AT25" s="3"/>
        <tr r="AT26" s="3"/>
        <tr r="AT27" s="3"/>
        <tr r="AT28" s="3"/>
        <tr r="AT29" s="3"/>
        <tr r="AT22" s="5"/>
        <tr r="AT23" s="5"/>
        <tr r="AT24" s="5"/>
        <tr r="AT25" s="5"/>
      </tp>
      <tp t="e">
        <v>#N/A</v>
        <stp/>
        <stp>BDP|1869648349858003303</stp>
        <tr r="AS13" s="3"/>
        <tr r="AS14" s="3"/>
        <tr r="AS15" s="3"/>
        <tr r="AS16" s="3"/>
        <tr r="L13" s="3"/>
        <tr r="L13" s="3"/>
        <tr r="L14" s="3"/>
        <tr r="L14" s="3"/>
        <tr r="L15" s="3"/>
        <tr r="L15" s="3"/>
        <tr r="L16" s="3"/>
        <tr r="L16" s="3"/>
        <tr r="AS13" s="5"/>
        <tr r="AS14" s="5"/>
        <tr r="AS15" s="5"/>
        <tr r="AS16" s="5"/>
        <tr r="AS17" s="5"/>
        <tr r="L13" s="5"/>
        <tr r="L13" s="5"/>
        <tr r="L14" s="5"/>
        <tr r="L14" s="5"/>
        <tr r="L15" s="5"/>
        <tr r="L15" s="5"/>
        <tr r="L16" s="5"/>
        <tr r="L16" s="5"/>
        <tr r="L17" s="5"/>
        <tr r="L17" s="5"/>
      </tp>
      <tp t="e">
        <v>#N/A</v>
        <stp/>
        <stp>BDP|5138776860708143422</stp>
        <tr r="AT7" s="3"/>
        <tr r="AT7" s="5"/>
        <tr r="AT8" s="5"/>
      </tp>
      <tp t="e">
        <v>#N/A</v>
        <stp/>
        <stp>BDP|1490143599231776151</stp>
        <tr r="AU17" s="3"/>
        <tr r="AU17" s="3"/>
        <tr r="AU17" s="3"/>
        <tr r="AU18" s="3"/>
        <tr r="AU18" s="3"/>
        <tr r="AU18" s="3"/>
        <tr r="AU19" s="3"/>
        <tr r="AU19" s="3"/>
        <tr r="AU19" s="3"/>
        <tr r="AU20" s="3"/>
        <tr r="AU20" s="3"/>
        <tr r="AU20" s="3"/>
        <tr r="AU21" s="3"/>
        <tr r="AU21" s="3"/>
        <tr r="AU21" s="3"/>
        <tr r="AU22" s="3"/>
        <tr r="AU22" s="3"/>
        <tr r="AU22" s="3"/>
        <tr r="AU18" s="5"/>
        <tr r="AU18" s="5"/>
        <tr r="AU18" s="5"/>
        <tr r="AU19" s="5"/>
        <tr r="AU19" s="5"/>
        <tr r="AU19" s="5"/>
      </tp>
      <tp t="e">
        <v>#N/A</v>
        <stp/>
        <stp>BDP|4830795306712819842</stp>
        <tr r="E33" s="3"/>
        <tr r="E34" s="3"/>
        <tr r="E35" s="3"/>
        <tr r="E31" s="5"/>
      </tp>
      <tp t="e">
        <v>#N/A</v>
        <stp/>
        <stp>BDP|6553545499155244610</stp>
        <tr r="V28" s="5"/>
      </tp>
      <tp t="e">
        <v>#N/A</v>
        <stp/>
        <stp>BDP|7882691298568750962</stp>
        <tr r="Y29" s="5"/>
      </tp>
      <tp t="e">
        <v>#N/A</v>
        <stp/>
        <stp>BDP|1867806752713313612</stp>
        <tr r="AE34" s="5"/>
        <tr r="AE35" s="5"/>
      </tp>
      <tp t="e">
        <v>#N/A</v>
        <stp/>
        <stp>BDP|5899273690770160773</stp>
        <tr r="E20" s="5"/>
      </tp>
      <tp t="e">
        <v>#N/A</v>
        <stp/>
        <stp>BDP|8638058189820698954</stp>
        <tr r="H31" s="3"/>
        <tr r="H31" s="3"/>
        <tr r="H32" s="3"/>
        <tr r="H32" s="3"/>
        <tr r="H30" s="5"/>
        <tr r="H30" s="5"/>
      </tp>
      <tp t="e">
        <v>#N/A</v>
        <stp/>
        <stp>BDP|5161756668805113830</stp>
        <tr r="M23" s="3"/>
        <tr r="M23" s="3"/>
        <tr r="M24" s="3"/>
        <tr r="M24" s="3"/>
        <tr r="M25" s="3"/>
        <tr r="M25" s="3"/>
        <tr r="M26" s="3"/>
        <tr r="M26" s="3"/>
        <tr r="M27" s="3"/>
        <tr r="M27" s="3"/>
        <tr r="M28" s="3"/>
        <tr r="M28" s="3"/>
        <tr r="M29" s="3"/>
        <tr r="M29" s="3"/>
        <tr r="M22" s="5"/>
        <tr r="M22" s="5"/>
        <tr r="M23" s="5"/>
        <tr r="M23" s="5"/>
        <tr r="M24" s="5"/>
        <tr r="M24" s="5"/>
        <tr r="M25" s="5"/>
        <tr r="M25" s="5"/>
      </tp>
      <tp t="e">
        <v>#N/A</v>
        <stp/>
        <stp>BDP|5965791622331565890</stp>
        <tr r="AE29" s="5"/>
      </tp>
      <tp t="e">
        <v>#N/A</v>
        <stp/>
        <stp>BDP|4905451441315566866</stp>
        <tr r="Q5" s="3"/>
        <tr r="Q6" s="3"/>
        <tr r="Q6" s="5"/>
      </tp>
      <tp t="e">
        <v>#N/A</v>
        <stp/>
        <stp>BDP|4767429618190001816</stp>
        <tr r="W33" s="5"/>
      </tp>
      <tp t="e">
        <v>#N/A</v>
        <stp/>
        <stp>BDP|2418314757005984890</stp>
        <tr r="Z5" s="3"/>
        <tr r="Z6" s="3"/>
        <tr r="Z6" s="5"/>
      </tp>
      <tp t="e">
        <v>#N/A</v>
        <stp/>
        <stp>BDP|2151553742233603928</stp>
        <tr r="Z20" s="5"/>
      </tp>
      <tp t="e">
        <v>#N/A</v>
        <stp/>
        <stp>BDP|8779400093589708516</stp>
        <tr r="Y3" s="5"/>
        <tr r="Y4" s="5"/>
      </tp>
      <tp t="e">
        <v>#N/A</v>
        <stp/>
        <stp>BDP|7621019382933428522</stp>
        <tr r="H21" s="5"/>
        <tr r="H21" s="5"/>
      </tp>
      <tp t="e">
        <v>#N/A</v>
        <stp/>
        <stp>BDP|7576052787960626617</stp>
        <tr r="W38" s="5"/>
      </tp>
      <tp t="s">
        <v>#N/A N/A</v>
        <stp/>
        <stp>BDP|6548726582199113947</stp>
        <tr r="J40" s="3"/>
        <tr r="J41" s="3"/>
        <tr r="J42" s="3"/>
        <tr r="J43" s="3"/>
        <tr r="J44" s="3"/>
        <tr r="J45" s="3"/>
        <tr r="J46" s="3"/>
        <tr r="J47" s="3"/>
        <tr r="J48" s="3"/>
        <tr r="J36" s="5"/>
        <tr r="J37" s="5"/>
      </tp>
      <tp t="e">
        <v>#N/A</v>
        <stp/>
        <stp>BDP|8559040525692730134</stp>
        <tr r="M33" s="3"/>
        <tr r="M33" s="3"/>
        <tr r="M34" s="3"/>
        <tr r="M34" s="3"/>
        <tr r="M35" s="3"/>
        <tr r="M35" s="3"/>
        <tr r="M31" s="5"/>
        <tr r="M31" s="5"/>
      </tp>
      <tp t="s">
        <v>#N/A N/A</v>
        <stp/>
        <stp>BDP|8330568863723155163</stp>
        <tr r="J33" s="5"/>
      </tp>
      <tp t="e">
        <v>#N/A</v>
        <stp/>
        <stp>BDP|2441860322372434351</stp>
        <tr r="H29" s="5"/>
        <tr r="H29" s="5"/>
      </tp>
      <tp t="e">
        <v>#N/A</v>
        <stp/>
        <stp>BDP|4598172680077658327</stp>
        <tr r="AA29" s="5"/>
      </tp>
      <tp t="e">
        <v>#N/A</v>
        <stp/>
        <stp>BDP|2395220147549982498</stp>
        <tr r="AK34" s="5"/>
        <tr r="AK34" s="5"/>
        <tr r="AK34" s="5"/>
        <tr r="AK35" s="5"/>
        <tr r="AK35" s="5"/>
        <tr r="AK35" s="5"/>
      </tp>
      <tp t="e">
        <v>#N/A</v>
        <stp/>
        <stp>BDP|9551241672372639738</stp>
        <tr r="N27" s="5"/>
      </tp>
      <tp t="e">
        <v>#N/A</v>
        <stp/>
        <stp>BDP|1273595273369634399</stp>
        <tr r="AD21" s="5"/>
      </tp>
      <tp t="e">
        <v>#N/A</v>
        <stp/>
        <stp>BDP|6477267275713180911</stp>
        <tr r="H38" s="5"/>
      </tp>
      <tp t="e">
        <v>#N/A</v>
        <stp/>
        <stp>BDP|7505301115069395549</stp>
        <tr r="E26" s="5"/>
      </tp>
      <tp t="e">
        <v>#N/A</v>
        <stp/>
        <stp>BDP|7558759691833145375</stp>
        <tr r="H26" s="5"/>
        <tr r="H26" s="5"/>
      </tp>
      <tp t="e">
        <v>#N/A</v>
        <stp/>
        <stp>BDP|2683216722082648978</stp>
        <tr r="AE40" s="3"/>
        <tr r="AE41" s="3"/>
        <tr r="AE42" s="3"/>
        <tr r="AE43" s="3"/>
        <tr r="AE44" s="3"/>
        <tr r="AE45" s="3"/>
        <tr r="AE46" s="3"/>
        <tr r="AE47" s="3"/>
        <tr r="AE48" s="3"/>
        <tr r="AE36" s="5"/>
        <tr r="AE37" s="5"/>
      </tp>
      <tp t="e">
        <v>#N/A</v>
        <stp/>
        <stp>BDP|1515208709038229144</stp>
        <tr r="AD17" s="3"/>
        <tr r="AD18" s="3"/>
        <tr r="AD19" s="3"/>
        <tr r="AD20" s="3"/>
        <tr r="AD21" s="3"/>
        <tr r="AD22" s="3"/>
        <tr r="AD18" s="5"/>
        <tr r="AD19" s="5"/>
      </tp>
      <tp t="e">
        <v>#N/A</v>
        <stp/>
        <stp>BDP|7458613798906339457</stp>
        <tr r="Y23" s="3"/>
        <tr r="Y24" s="3"/>
        <tr r="Y25" s="3"/>
        <tr r="Y26" s="3"/>
        <tr r="Y27" s="3"/>
        <tr r="Y28" s="3"/>
        <tr r="Y29" s="3"/>
        <tr r="Y22" s="5"/>
        <tr r="Y23" s="5"/>
        <tr r="Y24" s="5"/>
        <tr r="Y25" s="5"/>
      </tp>
      <tp t="e">
        <v>#N/A</v>
        <stp/>
        <stp>BDP|8302781666085468629</stp>
        <tr r="Z38" s="5"/>
      </tp>
      <tp t="e">
        <v>#N/A</v>
        <stp/>
        <stp>BDP|4198854917380949720</stp>
        <tr r="X27" s="5"/>
      </tp>
      <tp t="e">
        <v>#N/A</v>
        <stp/>
        <stp>BDP|3602289006498545359</stp>
        <tr r="M5" s="5"/>
        <tr r="M5" s="5"/>
      </tp>
      <tp t="e">
        <v>#N/A</v>
        <stp/>
        <stp>BDP|9863827526741129852</stp>
        <tr r="AL40" s="3"/>
        <tr r="AL41" s="3"/>
        <tr r="AL42" s="3"/>
        <tr r="AL43" s="3"/>
        <tr r="AL44" s="3"/>
        <tr r="AL45" s="3"/>
        <tr r="AL46" s="3"/>
        <tr r="AL47" s="3"/>
        <tr r="AL48" s="3"/>
        <tr r="AL36" s="5"/>
        <tr r="AL37" s="5"/>
      </tp>
      <tp t="e">
        <v>#N/A</v>
        <stp/>
        <stp>BDP|8829518902474431316</stp>
        <tr r="AS11" s="3"/>
        <tr r="AS12" s="3"/>
        <tr r="L11" s="3"/>
        <tr r="L11" s="3"/>
        <tr r="L12" s="3"/>
        <tr r="L12" s="3"/>
        <tr r="AS12" s="5"/>
        <tr r="L12" s="5"/>
        <tr r="L12" s="5"/>
      </tp>
      <tp t="e">
        <v>#N/A</v>
        <stp/>
        <stp>BDP|1391988372872600724</stp>
        <tr r="W21" s="5"/>
      </tp>
      <tp t="e">
        <v>#N/A</v>
        <stp/>
        <stp>BDP|7149985541134268482</stp>
        <tr r="AA31" s="3"/>
        <tr r="AA32" s="3"/>
        <tr r="AA30" s="5"/>
      </tp>
      <tp t="e">
        <v>#N/A</v>
        <stp/>
        <stp>BDP|1434803176200090420</stp>
        <tr r="X7" s="3"/>
        <tr r="X7" s="5"/>
        <tr r="X8" s="5"/>
      </tp>
      <tp t="e">
        <v>#N/A</v>
        <stp/>
        <stp>BDP|4523902483627258847</stp>
        <tr r="H20" s="5"/>
        <tr r="H20" s="5"/>
      </tp>
      <tp t="e">
        <v>#N/A</v>
        <stp/>
        <stp>BDP|9274271498471468990</stp>
        <tr r="E8" s="3"/>
        <tr r="E9" s="5"/>
      </tp>
      <tp t="e">
        <v>#N/A</v>
        <stp/>
        <stp>BDP|7726078476683046972</stp>
        <tr r="K3" s="5"/>
        <tr r="K4" s="5"/>
      </tp>
      <tp t="e">
        <v>#N/A</v>
        <stp/>
        <stp>BDP|7675405421612993983</stp>
        <tr r="AS17" s="3"/>
        <tr r="AS18" s="3"/>
        <tr r="AS19" s="3"/>
        <tr r="AS20" s="3"/>
        <tr r="AS21" s="3"/>
        <tr r="AS22" s="3"/>
        <tr r="AS18" s="5"/>
        <tr r="AS19" s="5"/>
      </tp>
      <tp t="e">
        <v>#N/A</v>
        <stp/>
        <stp>BDP|6906769785654954746</stp>
        <tr r="X13" s="3"/>
        <tr r="X14" s="3"/>
        <tr r="X15" s="3"/>
        <tr r="X16" s="3"/>
        <tr r="X13" s="5"/>
        <tr r="X14" s="5"/>
        <tr r="X15" s="5"/>
        <tr r="X16" s="5"/>
        <tr r="X17" s="5"/>
      </tp>
      <tp t="e">
        <v>#N/A</v>
        <stp/>
        <stp>BDP|5551479282805787625</stp>
        <tr r="AS27" s="5"/>
        <tr r="L27" s="5"/>
        <tr r="L27" s="5"/>
      </tp>
      <tp t="e">
        <v>#N/A</v>
        <stp/>
        <stp>BDP|3024445883477142238</stp>
        <tr r="K5" s="3"/>
        <tr r="K6" s="3"/>
        <tr r="K6" s="5"/>
      </tp>
      <tp t="e">
        <v>#N/A</v>
        <stp/>
        <stp>BDP|6130584194956083681</stp>
        <tr r="N11" s="3"/>
        <tr r="N12" s="3"/>
        <tr r="N12" s="5"/>
      </tp>
      <tp t="e">
        <v>#N/A</v>
        <stp/>
        <stp>BDP|3938695366389161025</stp>
        <tr r="Z2" s="3"/>
        <tr r="Z3" s="3"/>
        <tr r="Z4" s="3"/>
        <tr r="Z2" s="5"/>
      </tp>
      <tp t="e">
        <v>#N/A</v>
        <stp/>
        <stp>BDP|7314393654942485808</stp>
        <tr r="AU26" s="5"/>
        <tr r="AU26" s="5"/>
        <tr r="AU26" s="5"/>
      </tp>
      <tp t="e">
        <v>#N/A</v>
        <stp/>
        <stp>BDP|9221385902175339414</stp>
        <tr r="AE31" s="3"/>
        <tr r="AE32" s="3"/>
        <tr r="AE30" s="5"/>
      </tp>
      <tp t="e">
        <v>#N/A</v>
        <stp/>
        <stp>BDP|3927973112111148170</stp>
        <tr r="Z28" s="5"/>
      </tp>
      <tp t="s">
        <v>#N/A N/A</v>
        <stp/>
        <stp>BDP|1819102542147213839</stp>
        <tr r="J38" s="3"/>
        <tr r="J39" s="3"/>
        <tr r="J32" s="5"/>
      </tp>
      <tp t="e">
        <v>#N/A</v>
        <stp/>
        <stp>BDP|2339718690991329694</stp>
        <tr r="H5" s="5"/>
        <tr r="H5" s="5"/>
      </tp>
      <tp t="e">
        <v>#N/A</v>
        <stp/>
        <stp>BDP|9205324958940065416</stp>
        <tr r="M29" s="5"/>
        <tr r="M29" s="5"/>
      </tp>
      <tp t="e">
        <v>#N/A</v>
        <stp/>
        <stp>BDP|7059393315596211873</stp>
        <tr r="AM27" s="5"/>
        <tr r="AM27" s="5"/>
      </tp>
      <tp t="e">
        <v>#N/A</v>
        <stp/>
        <stp>BDP|6347143219894349932</stp>
        <tr r="Q11" s="3"/>
        <tr r="Q12" s="3"/>
        <tr r="Q12" s="5"/>
      </tp>
      <tp t="e">
        <v>#N/A</v>
        <stp/>
        <stp>BDP|5845923415430797672</stp>
        <tr r="AL3" s="5"/>
        <tr r="AL4" s="5"/>
      </tp>
      <tp t="e">
        <v>#N/A</v>
        <stp/>
        <stp>BDP|2199521778629387279</stp>
        <tr r="H3" s="5"/>
        <tr r="H4" s="5"/>
      </tp>
      <tp t="e">
        <v>#N/A</v>
        <stp/>
        <stp>BDP|4149099423839630421</stp>
        <tr r="H33" s="3"/>
        <tr r="H34" s="3"/>
        <tr r="H35" s="3"/>
        <tr r="H31" s="5"/>
      </tp>
      <tp t="e">
        <v>#N/A</v>
        <stp/>
        <stp>BDP|1407899633496301714</stp>
        <tr r="N38" s="5"/>
      </tp>
      <tp t="e">
        <v>#N/A</v>
        <stp/>
        <stp>BDP|4236912168038019860</stp>
        <tr r="K30" s="3"/>
      </tp>
      <tp t="e">
        <v>#N/A</v>
        <stp/>
        <stp>BDP|3513313493825111770</stp>
        <tr r="AO5" s="5"/>
      </tp>
      <tp t="e">
        <v>#N/A</v>
        <stp/>
        <stp>BDP|7700307115867146920</stp>
        <tr r="F38" s="5"/>
      </tp>
      <tp t="e">
        <v>#N/A</v>
        <stp/>
        <stp>BDP|4544444036098296045</stp>
        <tr r="W20" s="5"/>
      </tp>
      <tp t="e">
        <v>#N/A</v>
        <stp/>
        <stp>BDP|8272096862203785686</stp>
        <tr r="M31" s="3"/>
        <tr r="M31" s="3"/>
        <tr r="M32" s="3"/>
        <tr r="M32" s="3"/>
        <tr r="M30" s="5"/>
        <tr r="M30" s="5"/>
      </tp>
      <tp t="e">
        <v>#N/A</v>
        <stp/>
        <stp>BDP|1690039255968292741</stp>
        <tr r="W30" s="3"/>
      </tp>
      <tp t="e">
        <v>#N/A</v>
        <stp/>
        <stp>BDP|1384563052933871991</stp>
        <tr r="AS5" s="5"/>
      </tp>
      <tp t="e">
        <v>#N/A</v>
        <stp/>
        <stp>BDP|4817293417974610870</stp>
        <tr r="H13" s="3"/>
        <tr r="H13" s="3"/>
        <tr r="H14" s="3"/>
        <tr r="H14" s="3"/>
        <tr r="H15" s="3"/>
        <tr r="H15" s="3"/>
        <tr r="H16" s="3"/>
        <tr r="H16" s="3"/>
        <tr r="H13" s="5"/>
        <tr r="H13" s="5"/>
        <tr r="H14" s="5"/>
        <tr r="H14" s="5"/>
        <tr r="H15" s="5"/>
        <tr r="H15" s="5"/>
        <tr r="H16" s="5"/>
        <tr r="H16" s="5"/>
        <tr r="H17" s="5"/>
        <tr r="H17" s="5"/>
      </tp>
      <tp t="e">
        <v>#N/A</v>
        <stp/>
        <stp>BDP|3395621191630664712</stp>
        <tr r="K29" s="5"/>
      </tp>
      <tp t="e">
        <v>#N/A</v>
        <stp/>
        <stp>BDP|5962984015221293713</stp>
        <tr r="AJ10" s="3"/>
        <tr r="AJ10" s="3"/>
        <tr r="AJ9" s="3"/>
        <tr r="AJ9" s="3"/>
      </tp>
      <tp t="e">
        <v>#N/A</v>
        <stp/>
        <stp>BDP|4651104714078695738</stp>
        <tr r="AT31" s="3"/>
        <tr r="AT32" s="3"/>
        <tr r="AT30" s="5"/>
      </tp>
      <tp t="e">
        <v>#N/A</v>
        <stp/>
        <stp>BDP|3410334282502981193</stp>
        <tr r="AT8" s="3"/>
        <tr r="AT9" s="5"/>
      </tp>
      <tp t="e">
        <v>#N/A</v>
        <stp/>
        <stp>BDP|9191092972169032301</stp>
        <tr r="H8" s="3"/>
        <tr r="H9" s="5"/>
      </tp>
      <tp t="e">
        <v>#N/A</v>
        <stp/>
        <stp>BDP|6157789102926981388</stp>
        <tr r="W36" s="3"/>
        <tr r="W37" s="3"/>
      </tp>
      <tp t="e">
        <v>#N/A</v>
        <stp/>
        <stp>BDP|4987531403981024434</stp>
        <tr r="N38" s="3"/>
        <tr r="N39" s="3"/>
        <tr r="N32" s="5"/>
      </tp>
      <tp t="e">
        <v>#N/A</v>
        <stp/>
        <stp>BDP|3296688693021261907</stp>
        <tr r="H5" s="3"/>
        <tr r="H6" s="3"/>
        <tr r="H6" s="5"/>
      </tp>
      <tp t="e">
        <v>#N/A</v>
        <stp/>
        <stp>BDP|6922679545866667666</stp>
        <tr r="AL29" s="5"/>
      </tp>
      <tp t="e">
        <v>#N/A</v>
        <stp/>
        <stp>BDP|8543813779404324761</stp>
        <tr r="AE8" s="3"/>
        <tr r="AE9" s="5"/>
      </tp>
      <tp t="e">
        <v>#N/A</v>
        <stp/>
        <stp>BDP|3364794174301752612</stp>
        <tr r="V34" s="5"/>
        <tr r="V35" s="5"/>
      </tp>
      <tp t="e">
        <v>#N/A</v>
        <stp/>
        <stp>BDP|1891835651948064031</stp>
        <tr r="K11" s="3"/>
        <tr r="K12" s="3"/>
        <tr r="K12" s="5"/>
      </tp>
      <tp t="e">
        <v>#N/A</v>
        <stp/>
        <stp>BDP|3193486613504026651</stp>
        <tr r="V27" s="5"/>
      </tp>
      <tp t="e">
        <v>#N/A</v>
        <stp/>
        <stp>BDP|6132921938430063872</stp>
        <tr r="Y17" s="3"/>
        <tr r="Y18" s="3"/>
        <tr r="Y19" s="3"/>
        <tr r="Y20" s="3"/>
        <tr r="Y21" s="3"/>
        <tr r="Y22" s="3"/>
        <tr r="Y18" s="5"/>
        <tr r="Y19" s="5"/>
      </tp>
      <tp t="e">
        <v>#N/A</v>
        <stp/>
        <stp>BDP|4051705209312258573</stp>
        <tr r="AM38" s="3"/>
        <tr r="AM38" s="3"/>
        <tr r="AM39" s="3"/>
        <tr r="AM39" s="3"/>
        <tr r="AM32" s="5"/>
        <tr r="AM32" s="5"/>
      </tp>
      <tp t="e">
        <v>#N/A</v>
        <stp/>
        <stp>BDP|8572300097156296023</stp>
        <tr r="AE30" s="3"/>
      </tp>
      <tp t="e">
        <v>#N/A</v>
        <stp/>
        <stp>BDP|8198059733738688739</stp>
        <tr r="AS26" s="5"/>
      </tp>
      <tp t="e">
        <v>#N/A</v>
        <stp/>
        <stp>BDP|4286751864541745075</stp>
        <tr r="AO36" s="3"/>
        <tr r="AO37" s="3"/>
      </tp>
      <tp t="e">
        <v>#N/A</v>
        <stp/>
        <stp>BDP|5454587608314514024</stp>
        <tr r="F23" s="3"/>
        <tr r="F24" s="3"/>
        <tr r="F25" s="3"/>
        <tr r="F26" s="3"/>
        <tr r="F27" s="3"/>
        <tr r="F28" s="3"/>
        <tr r="F29" s="3"/>
        <tr r="F22" s="5"/>
        <tr r="F23" s="5"/>
        <tr r="F24" s="5"/>
        <tr r="F25" s="5"/>
      </tp>
      <tp t="e">
        <v>#N/A</v>
        <stp/>
        <stp>BDP|3263509213251356238</stp>
        <tr r="X36" s="3"/>
        <tr r="X37" s="3"/>
      </tp>
      <tp t="e">
        <v>#N/A</v>
        <stp/>
        <stp>BDP|1473009615555794170</stp>
        <tr r="AT17" s="3"/>
        <tr r="AT18" s="3"/>
        <tr r="AT19" s="3"/>
        <tr r="AT20" s="3"/>
        <tr r="AT21" s="3"/>
        <tr r="AT22" s="3"/>
        <tr r="AT18" s="5"/>
        <tr r="AT19" s="5"/>
      </tp>
      <tp t="e">
        <v>#N/A</v>
        <stp/>
        <stp>BDP|7908995806643731961</stp>
        <tr r="I33" s="5"/>
      </tp>
      <tp t="e">
        <v>#N/A</v>
        <stp/>
        <stp>BDP|1382929788442496680</stp>
        <tr r="V30" s="3"/>
      </tp>
      <tp t="e">
        <v>#N/A</v>
        <stp/>
        <stp>BDP|7023107654187322029</stp>
        <tr r="AL33" s="5"/>
      </tp>
      <tp t="e">
        <v>#N/A</v>
        <stp/>
        <stp>BDP|8985057686626264320</stp>
        <tr r="AS8" s="3"/>
        <tr r="AS9" s="5"/>
      </tp>
      <tp t="e">
        <v>#N/A</v>
        <stp/>
        <stp>BDP|9093020984872881646</stp>
        <tr r="AO33" s="5"/>
      </tp>
      <tp t="e">
        <v>#N/A</v>
        <stp/>
        <stp>BDP|5365500028894231320</stp>
        <tr r="N29" s="5"/>
      </tp>
      <tp t="e">
        <v>#N/A</v>
        <stp/>
        <stp>BDP|5020313741563833433</stp>
        <tr r="AA2" s="3"/>
        <tr r="AA3" s="3"/>
        <tr r="AA4" s="3"/>
        <tr r="AA2" s="5"/>
      </tp>
      <tp t="e">
        <v>#N/A</v>
        <stp/>
        <stp>BDP|6685948968164409878</stp>
        <tr r="H29" s="5"/>
        <tr r="H29" s="5"/>
      </tp>
      <tp t="s">
        <v>#N/A N/A</v>
        <stp/>
        <stp>BDP|7948330052363584747</stp>
        <tr r="J29" s="5"/>
      </tp>
      <tp t="e">
        <v>#N/A</v>
        <stp/>
        <stp>BDP|4240084936600563200</stp>
        <tr r="AA5" s="5"/>
      </tp>
      <tp t="e">
        <v>#N/A</v>
        <stp/>
        <stp>BDP|5921206446344519254</stp>
        <tr r="N33" s="3"/>
        <tr r="N34" s="3"/>
        <tr r="N35" s="3"/>
        <tr r="N31" s="5"/>
      </tp>
      <tp t="e">
        <v>#N/A</v>
        <stp/>
        <stp>BDP|2894961971071387809</stp>
        <tr r="Q36" s="3"/>
        <tr r="Q37" s="3"/>
      </tp>
      <tp t="e">
        <v>#N/A</v>
        <stp/>
        <stp>BDP|4046876298923213310</stp>
        <tr r="N2" s="3"/>
        <tr r="N3" s="3"/>
        <tr r="N4" s="3"/>
        <tr r="N2" s="5"/>
      </tp>
      <tp t="e">
        <v>#N/A</v>
        <stp/>
        <stp>BDP|4398705978305019497</stp>
        <tr r="K35" s="5"/>
        <tr r="K34" s="5"/>
      </tp>
      <tp t="e">
        <v>#N/A</v>
        <stp/>
        <stp>BDP|6036463621737765220</stp>
        <tr r="H35" s="5"/>
        <tr r="H35" s="5"/>
        <tr r="H34" s="5"/>
        <tr r="H34" s="5"/>
      </tp>
      <tp t="e">
        <v>#N/A</v>
        <stp/>
        <stp>BDP|9832381714307090945</stp>
        <tr r="AE7" s="3"/>
        <tr r="AE7" s="5"/>
        <tr r="AE8" s="5"/>
      </tp>
      <tp t="e">
        <v>#N/A</v>
        <stp/>
        <stp>BDP|8015438584635338459</stp>
        <tr r="E21" s="5"/>
      </tp>
      <tp t="e">
        <v>#N/A</v>
        <stp/>
        <stp>BDP|7485156839603679386</stp>
        <tr r="X3" s="5"/>
        <tr r="X4" s="5"/>
      </tp>
      <tp t="e">
        <v>#N/A</v>
        <stp/>
        <stp>BDP|1278774807053539015</stp>
        <tr r="H17" s="3"/>
        <tr r="H17" s="3"/>
        <tr r="H18" s="3"/>
        <tr r="H18" s="3"/>
        <tr r="H19" s="3"/>
        <tr r="H19" s="3"/>
        <tr r="H20" s="3"/>
        <tr r="H20" s="3"/>
        <tr r="H21" s="3"/>
        <tr r="H21" s="3"/>
        <tr r="H22" s="3"/>
        <tr r="H22" s="3"/>
        <tr r="H18" s="5"/>
        <tr r="H18" s="5"/>
        <tr r="H19" s="5"/>
        <tr r="H19" s="5"/>
      </tp>
      <tp t="e">
        <v>#N/A</v>
        <stp/>
        <stp>BDP|2739693959394304038</stp>
        <tr r="AT34" s="5"/>
        <tr r="AT35" s="5"/>
      </tp>
      <tp t="e">
        <v>#N/A</v>
        <stp/>
        <stp>BDP|2242240322674400378</stp>
        <tr r="Q38" s="3"/>
        <tr r="Q39" s="3"/>
        <tr r="Q32" s="5"/>
      </tp>
      <tp t="e">
        <v>#N/A</v>
        <stp/>
        <stp>BDP|9601907505213180653</stp>
        <tr r="AE27" s="5"/>
      </tp>
      <tp t="e">
        <v>#N/A</v>
        <stp/>
        <stp>BDP|2233089644487969423</stp>
        <tr r="H8" s="3"/>
        <tr r="H8" s="3"/>
        <tr r="H9" s="5"/>
        <tr r="H9" s="5"/>
      </tp>
      <tp t="e">
        <v>#N/A</v>
        <stp/>
        <stp>BDP|5806293764013060701</stp>
        <tr r="E40" s="3"/>
        <tr r="E41" s="3"/>
        <tr r="E42" s="3"/>
        <tr r="E43" s="3"/>
        <tr r="E44" s="3"/>
        <tr r="E45" s="3"/>
        <tr r="E46" s="3"/>
        <tr r="E47" s="3"/>
        <tr r="E48" s="3"/>
        <tr r="E36" s="5"/>
        <tr r="E37" s="5"/>
      </tp>
      <tp t="e">
        <v>#N/A</v>
        <stp/>
        <stp>BDP|7510054312395453635</stp>
        <tr r="AA33" s="5"/>
      </tp>
      <tp t="e">
        <v>#N/A</v>
        <stp/>
        <stp>BDP|1276587226609493932</stp>
        <tr r="H5" s="3"/>
        <tr r="H6" s="3"/>
        <tr r="H6" s="5"/>
      </tp>
      <tp t="e">
        <v>#N/A</v>
        <stp/>
        <stp>BDP|6694156217659966961</stp>
        <tr r="AE33" s="3"/>
        <tr r="AE34" s="3"/>
        <tr r="AE35" s="3"/>
        <tr r="AE31" s="5"/>
      </tp>
      <tp t="e">
        <v>#N/A</v>
        <stp/>
        <stp>BDP|3697740982619373388</stp>
        <tr r="N13" s="3"/>
        <tr r="N14" s="3"/>
        <tr r="N15" s="3"/>
        <tr r="N16" s="3"/>
        <tr r="N13" s="5"/>
        <tr r="N14" s="5"/>
        <tr r="N15" s="5"/>
        <tr r="N16" s="5"/>
        <tr r="N17" s="5"/>
      </tp>
      <tp t="e">
        <v>#N/A</v>
        <stp/>
        <stp>BDP|1782295614755558173</stp>
        <tr r="V17" s="3"/>
        <tr r="V18" s="3"/>
        <tr r="V19" s="3"/>
        <tr r="V20" s="3"/>
        <tr r="V21" s="3"/>
        <tr r="V22" s="3"/>
        <tr r="V18" s="5"/>
        <tr r="V19" s="5"/>
      </tp>
      <tp t="e">
        <v>#N/A</v>
        <stp/>
        <stp>BDP|7276034049772490748</stp>
        <tr r="V23" s="3"/>
        <tr r="V24" s="3"/>
        <tr r="V25" s="3"/>
        <tr r="V26" s="3"/>
        <tr r="V27" s="3"/>
        <tr r="V28" s="3"/>
        <tr r="V29" s="3"/>
        <tr r="V22" s="5"/>
        <tr r="V23" s="5"/>
        <tr r="V24" s="5"/>
        <tr r="V25" s="5"/>
      </tp>
      <tp t="e">
        <v>#N/A</v>
        <stp/>
        <stp>BDP|7118418448091342025</stp>
        <tr r="N10" s="3"/>
        <tr r="N9" s="3"/>
        <tr r="N10" s="5"/>
        <tr r="N11" s="5"/>
      </tp>
      <tp t="e">
        <v>#N/A</v>
        <stp/>
        <stp>BDP|4919489728585842187</stp>
        <tr r="AD31" s="3"/>
        <tr r="AD32" s="3"/>
        <tr r="AD30" s="5"/>
      </tp>
      <tp t="e">
        <v>#N/A</v>
        <stp/>
        <stp>BDP|4699763349224555524</stp>
        <tr r="X29" s="5"/>
      </tp>
      <tp t="e">
        <v>#N/A</v>
        <stp/>
        <stp>BDP|8299133395523373598</stp>
        <tr r="AD2" s="3"/>
        <tr r="AD3" s="3"/>
        <tr r="AD4" s="3"/>
        <tr r="AD2" s="5"/>
      </tp>
      <tp t="e">
        <v>#N/A</v>
        <stp/>
        <stp>BDP|9181573999443408058</stp>
        <tr r="K23" s="3"/>
        <tr r="K24" s="3"/>
        <tr r="K25" s="3"/>
        <tr r="K26" s="3"/>
        <tr r="K27" s="3"/>
        <tr r="K28" s="3"/>
        <tr r="K29" s="3"/>
        <tr r="K22" s="5"/>
        <tr r="K23" s="5"/>
        <tr r="K24" s="5"/>
        <tr r="K25" s="5"/>
      </tp>
      <tp t="e">
        <v>#N/A</v>
        <stp/>
        <stp>BDP|1427104429600578471</stp>
        <tr r="H35" s="5"/>
        <tr r="H35" s="5"/>
        <tr r="H34" s="5"/>
        <tr r="H34" s="5"/>
      </tp>
      <tp t="e">
        <v>#N/A</v>
        <stp/>
        <stp>BDP|6576506278887363522</stp>
        <tr r="Z27" s="5"/>
      </tp>
      <tp t="e">
        <v>#N/A</v>
        <stp/>
        <stp>BDP|8898851403603633540</stp>
        <tr r="H36" s="3"/>
        <tr r="H36" s="3"/>
        <tr r="H37" s="3"/>
        <tr r="H37" s="3"/>
      </tp>
      <tp t="e">
        <v>#N/A</v>
        <stp/>
        <stp>BDP|7607094275194530237</stp>
        <tr r="Z33" s="3"/>
        <tr r="Z34" s="3"/>
        <tr r="Z35" s="3"/>
        <tr r="Z31" s="5"/>
      </tp>
      <tp t="e">
        <v>#N/A</v>
        <stp/>
        <stp>BDP|3618007918935661150</stp>
        <tr r="Q5" s="5"/>
      </tp>
      <tp t="e">
        <v>#N/A</v>
        <stp/>
        <stp>BDP|6110480461865465712</stp>
        <tr r="E11" s="3"/>
        <tr r="E12" s="3"/>
        <tr r="E12" s="5"/>
      </tp>
      <tp t="e">
        <v>#N/A</v>
        <stp/>
        <stp>BDP|9080809159017301575</stp>
        <tr r="AU2" s="3"/>
        <tr r="AU2" s="3"/>
        <tr r="AU2" s="3"/>
        <tr r="AU3" s="3"/>
        <tr r="AU3" s="3"/>
        <tr r="AU3" s="3"/>
        <tr r="AU4" s="3"/>
        <tr r="AU4" s="3"/>
        <tr r="AU4" s="3"/>
        <tr r="AU2" s="5"/>
        <tr r="AU2" s="5"/>
        <tr r="AU2" s="5"/>
      </tp>
      <tp t="e">
        <v>#N/A</v>
        <stp/>
        <stp>BDP|2986773100812847142</stp>
        <tr r="AK26" s="5"/>
        <tr r="AK26" s="5"/>
        <tr r="AK26" s="5"/>
      </tp>
      <tp t="e">
        <v>#N/A</v>
        <stp/>
        <stp>BDP|2971337968518960996</stp>
        <tr r="AD5" s="5"/>
      </tp>
      <tp t="e">
        <v>#N/A</v>
        <stp/>
        <stp>BDP|8269713126562279947</stp>
        <tr r="L10" s="3"/>
        <tr r="L10" s="3"/>
        <tr r="L9" s="3"/>
        <tr r="L9" s="3"/>
        <tr r="L10" s="5"/>
        <tr r="L10" s="5"/>
        <tr r="L11" s="5"/>
        <tr r="L11" s="5"/>
        <tr r="AS10" s="3"/>
        <tr r="AS9" s="3"/>
        <tr r="AS10" s="5"/>
        <tr r="AS11" s="5"/>
      </tp>
      <tp t="e">
        <v>#N/A</v>
        <stp/>
        <stp>BDP|3026370261180412017</stp>
        <tr r="E29" s="5"/>
      </tp>
      <tp t="e">
        <v>#N/A</v>
        <stp/>
        <stp>BDP|5081148024643456328</stp>
        <tr r="AD27" s="5"/>
      </tp>
      <tp t="e">
        <v>#N/A</v>
        <stp/>
        <stp>BDP|8281472458847991821</stp>
        <tr r="Z30" s="3"/>
      </tp>
      <tp t="e">
        <v>#N/A</v>
        <stp/>
        <stp>BDP|7477155065905690346</stp>
        <tr r="L2" s="3"/>
        <tr r="L2" s="3"/>
        <tr r="L3" s="3"/>
        <tr r="L3" s="3"/>
        <tr r="L4" s="3"/>
        <tr r="L4" s="3"/>
        <tr r="L2" s="5"/>
        <tr r="L2" s="5"/>
        <tr r="AS2" s="3"/>
        <tr r="AS3" s="3"/>
        <tr r="AS4" s="3"/>
        <tr r="AS2" s="5"/>
      </tp>
      <tp t="e">
        <v>#N/A</v>
        <stp/>
        <stp>BDP|2649544663186423129</stp>
        <tr r="AK31" s="3"/>
        <tr r="AK31" s="3"/>
        <tr r="AK31" s="3"/>
        <tr r="AK32" s="3"/>
        <tr r="AK32" s="3"/>
        <tr r="AK32" s="3"/>
        <tr r="AK30" s="5"/>
        <tr r="AK30" s="5"/>
        <tr r="AK30" s="5"/>
      </tp>
      <tp t="e">
        <v>#N/A</v>
        <stp/>
        <stp>BDP|5585752911773184670</stp>
        <tr r="Y11" s="3"/>
        <tr r="Y12" s="3"/>
        <tr r="Y12" s="5"/>
      </tp>
      <tp t="e">
        <v>#N/A</v>
        <stp/>
        <stp>BDP|1178146969947874702</stp>
        <tr r="I17" s="3"/>
        <tr r="I18" s="3"/>
        <tr r="I19" s="3"/>
        <tr r="I20" s="3"/>
        <tr r="I21" s="3"/>
        <tr r="I22" s="3"/>
        <tr r="I18" s="5"/>
        <tr r="I19" s="5"/>
      </tp>
      <tp t="e">
        <v>#N/A</v>
        <stp/>
        <stp>BDP|4639796953230151080</stp>
        <tr r="M33" s="5"/>
        <tr r="M33" s="5"/>
      </tp>
      <tp t="e">
        <v>#N/A</v>
        <stp/>
        <stp>BDP|6033431351328160888</stp>
        <tr r="F11" s="3"/>
        <tr r="F12" s="3"/>
        <tr r="F12" s="5"/>
      </tp>
      <tp t="e">
        <v>#N/A</v>
        <stp/>
        <stp>BDP|6594365803866839437</stp>
        <tr r="AO21" s="5"/>
      </tp>
      <tp t="s">
        <v>#N/A N/A</v>
        <stp/>
        <stp>BDP|1510708210951497192</stp>
        <tr r="J5" s="3"/>
        <tr r="J6" s="3"/>
        <tr r="J6" s="5"/>
      </tp>
      <tp t="e">
        <v>#N/A</v>
        <stp/>
        <stp>BDP|2503738319111249252</stp>
        <tr r="AM23" s="3"/>
        <tr r="AM23" s="3"/>
        <tr r="AM24" s="3"/>
        <tr r="AM24" s="3"/>
        <tr r="AM25" s="3"/>
        <tr r="AM25" s="3"/>
        <tr r="AM26" s="3"/>
        <tr r="AM26" s="3"/>
        <tr r="AM27" s="3"/>
        <tr r="AM27" s="3"/>
        <tr r="AM28" s="3"/>
        <tr r="AM28" s="3"/>
        <tr r="AM29" s="3"/>
        <tr r="AM29" s="3"/>
        <tr r="AM22" s="5"/>
        <tr r="AM22" s="5"/>
        <tr r="AM23" s="5"/>
        <tr r="AM23" s="5"/>
        <tr r="AM24" s="5"/>
        <tr r="AM24" s="5"/>
        <tr r="AM25" s="5"/>
        <tr r="AM25" s="5"/>
      </tp>
      <tp t="e">
        <v>#N/A</v>
        <stp/>
        <stp>BDP|7830447916957579278</stp>
        <tr r="Z11" s="3"/>
        <tr r="Z12" s="3"/>
        <tr r="Z12" s="5"/>
      </tp>
      <tp t="e">
        <v>#N/A</v>
        <stp/>
        <stp>BDP|9468746433443969920</stp>
        <tr r="AK33" s="3"/>
        <tr r="AK33" s="3"/>
        <tr r="AK33" s="3"/>
        <tr r="AK34" s="3"/>
        <tr r="AK34" s="3"/>
        <tr r="AK34" s="3"/>
        <tr r="AK35" s="3"/>
        <tr r="AK35" s="3"/>
        <tr r="AK35" s="3"/>
        <tr r="AK31" s="5"/>
        <tr r="AK31" s="5"/>
        <tr r="AK31" s="5"/>
      </tp>
      <tp t="e">
        <v>#N/A</v>
        <stp/>
        <stp>BDP|3882543569193885442</stp>
        <tr r="X5" s="3"/>
        <tr r="X6" s="3"/>
        <tr r="X6" s="5"/>
      </tp>
      <tp t="e">
        <v>#N/A</v>
        <stp/>
        <stp>BDP|4405452128650214520</stp>
        <tr r="I28" s="5"/>
      </tp>
      <tp t="s">
        <v>#N/A N/A</v>
        <stp/>
        <stp>BDP|2207783041524334211</stp>
        <tr r="J13" s="3"/>
        <tr r="J14" s="3"/>
        <tr r="J15" s="3"/>
        <tr r="J16" s="3"/>
        <tr r="J13" s="5"/>
        <tr r="J14" s="5"/>
        <tr r="J15" s="5"/>
        <tr r="J16" s="5"/>
        <tr r="J17" s="5"/>
      </tp>
      <tp t="e">
        <v>#N/A</v>
        <stp/>
        <stp>BDP|2718738417925426697</stp>
        <tr r="AT33" s="5"/>
      </tp>
      <tp t="e">
        <v>#N/A</v>
        <stp/>
        <stp>BDP|9812313228788773795</stp>
        <tr r="AE3" s="5"/>
        <tr r="AE4" s="5"/>
      </tp>
      <tp t="e">
        <v>#N/A</v>
        <stp/>
        <stp>BDP|4164321117930132184</stp>
        <tr r="AE23" s="3"/>
        <tr r="AE24" s="3"/>
        <tr r="AE25" s="3"/>
        <tr r="AE26" s="3"/>
        <tr r="AE27" s="3"/>
        <tr r="AE28" s="3"/>
        <tr r="AE29" s="3"/>
        <tr r="AE22" s="5"/>
        <tr r="AE23" s="5"/>
        <tr r="AE24" s="5"/>
        <tr r="AE25" s="5"/>
      </tp>
      <tp t="e">
        <v>#N/A</v>
        <stp/>
        <stp>BDP|7763466844945932517</stp>
        <tr r="AJ8" s="3"/>
        <tr r="AJ8" s="3"/>
      </tp>
      <tp t="e">
        <v>#N/A</v>
        <stp/>
        <stp>BDP|7592718527573989684</stp>
        <tr r="M3" s="5"/>
        <tr r="M3" s="5"/>
        <tr r="M4" s="5"/>
        <tr r="M4" s="5"/>
      </tp>
      <tp t="e">
        <v>#N/A</v>
        <stp/>
        <stp>BDP|8000238114505328964</stp>
        <tr r="H11" s="3"/>
        <tr r="H11" s="3"/>
        <tr r="H12" s="3"/>
        <tr r="H12" s="3"/>
        <tr r="H12" s="5"/>
        <tr r="H12" s="5"/>
      </tp>
      <tp t="e">
        <v>#N/A</v>
        <stp/>
        <stp>BDP|1237702850635089113</stp>
        <tr r="AK5" s="5"/>
        <tr r="AK5" s="5"/>
        <tr r="AK5" s="5"/>
      </tp>
      <tp t="s">
        <v>#N/A N/A</v>
        <stp/>
        <stp>BDP|8478173670891892885</stp>
        <tr r="J28" s="5"/>
      </tp>
      <tp t="e">
        <v>#N/A</v>
        <stp/>
        <stp>BDP|1521338105516497344</stp>
        <tr r="AU33" s="5"/>
        <tr r="AU33" s="5"/>
        <tr r="AU33" s="5"/>
      </tp>
      <tp t="e">
        <v>#N/A</v>
        <stp/>
        <stp>BDP|1044435751303512479</stp>
        <tr r="AD36" s="3"/>
        <tr r="AD37" s="3"/>
      </tp>
      <tp t="s">
        <v>#N/A N/A</v>
        <stp/>
        <stp>BDP|7019418055080522116</stp>
        <tr r="J33" s="3"/>
        <tr r="J34" s="3"/>
        <tr r="J35" s="3"/>
        <tr r="J31" s="5"/>
      </tp>
      <tp t="e">
        <v>#N/A</v>
        <stp/>
        <stp>BDP|8242954173243055245</stp>
        <tr r="M2" s="3"/>
        <tr r="M2" s="3"/>
        <tr r="M3" s="3"/>
        <tr r="M3" s="3"/>
        <tr r="M4" s="3"/>
        <tr r="M4" s="3"/>
        <tr r="M2" s="5"/>
        <tr r="M2" s="5"/>
      </tp>
      <tp t="e">
        <v>#N/A</v>
        <stp/>
        <stp>BDP|6083562564426761446</stp>
        <tr r="Z38" s="3"/>
        <tr r="Z39" s="3"/>
        <tr r="Z32" s="5"/>
      </tp>
      <tp t="e">
        <v>#N/A</v>
        <stp/>
        <stp>BDP|7716218451902386500</stp>
        <tr r="F17" s="3"/>
        <tr r="F18" s="3"/>
        <tr r="F19" s="3"/>
        <tr r="F20" s="3"/>
        <tr r="F21" s="3"/>
        <tr r="F22" s="3"/>
        <tr r="F18" s="5"/>
        <tr r="F19" s="5"/>
      </tp>
      <tp t="e">
        <v>#N/A</v>
        <stp/>
        <stp>BDP|3055500120241280263</stp>
        <tr r="M11" s="3"/>
        <tr r="M11" s="3"/>
        <tr r="M12" s="3"/>
        <tr r="M12" s="3"/>
        <tr r="M12" s="5"/>
        <tr r="M12" s="5"/>
      </tp>
      <tp t="e">
        <v>#N/A</v>
        <stp/>
        <stp>BDP|1701536636303996414</stp>
        <tr r="AD40" s="3"/>
        <tr r="AD41" s="3"/>
        <tr r="AD42" s="3"/>
        <tr r="AD43" s="3"/>
        <tr r="AD44" s="3"/>
        <tr r="AD45" s="3"/>
        <tr r="AD46" s="3"/>
        <tr r="AD47" s="3"/>
        <tr r="AD48" s="3"/>
        <tr r="AD36" s="5"/>
        <tr r="AD37" s="5"/>
      </tp>
      <tp t="e">
        <v>#N/A</v>
        <stp/>
        <stp>BDP|2956462823942263647</stp>
        <tr r="AS29" s="5"/>
      </tp>
      <tp t="e">
        <v>#N/A</v>
        <stp/>
        <stp>BDP|1388967111569922064</stp>
        <tr r="Y28" s="5"/>
      </tp>
      <tp t="e">
        <v>#N/A</v>
        <stp/>
        <stp>BDP|2232642387759228587</stp>
        <tr r="N11" s="3"/>
        <tr r="N12" s="3"/>
        <tr r="N12" s="5"/>
      </tp>
      <tp t="e">
        <v>#N/A</v>
        <stp/>
        <stp>BDP|4189623870505322081</stp>
        <tr r="H35" s="5"/>
        <tr r="H35" s="5"/>
        <tr r="H34" s="5"/>
        <tr r="H34" s="5"/>
      </tp>
      <tp t="e">
        <v>#N/A</v>
        <stp/>
        <stp>BDP|1216411233351104789</stp>
        <tr r="AA3" s="5"/>
        <tr r="AA4" s="5"/>
      </tp>
      <tp t="e">
        <v>#N/A</v>
        <stp/>
        <stp>BDP|3103696356376529628</stp>
        <tr r="AO20" s="5"/>
      </tp>
      <tp t="e">
        <v>#N/A</v>
        <stp/>
        <stp>BDP|9525957819366366736</stp>
        <tr r="V29" s="5"/>
      </tp>
      <tp t="e">
        <v>#N/A</v>
        <stp/>
        <stp>BDP|4153983502675201870</stp>
        <tr r="Q10" s="3"/>
        <tr r="Q9" s="3"/>
        <tr r="Q10" s="5"/>
        <tr r="Q11" s="5"/>
      </tp>
      <tp t="e">
        <v>#N/A</v>
        <stp/>
        <stp>BDP|7876725534532132117</stp>
        <tr r="AL38" s="3"/>
        <tr r="AL39" s="3"/>
        <tr r="AL32" s="5"/>
      </tp>
      <tp t="e">
        <v>#N/A</v>
        <stp/>
        <stp>BDP|2887249832521658263</stp>
        <tr r="W26" s="5"/>
      </tp>
      <tp t="e">
        <v>#N/A</v>
        <stp/>
        <stp>BDP|9039210428520721915</stp>
        <tr r="AL10" s="3"/>
        <tr r="AL9" s="3"/>
        <tr r="AL10" s="5"/>
        <tr r="AL11" s="5"/>
      </tp>
      <tp t="e">
        <v>#N/A</v>
        <stp/>
        <stp>BDP|9212744923484940801</stp>
        <tr r="N28" s="5"/>
      </tp>
      <tp t="e">
        <v>#N/A</v>
        <stp/>
        <stp>BDP|2897010744795307328</stp>
        <tr r="N10" s="3"/>
        <tr r="N9" s="3"/>
        <tr r="N10" s="5"/>
        <tr r="N11" s="5"/>
      </tp>
      <tp t="e">
        <v>#N/A</v>
        <stp/>
        <stp>BDP|6908727335727818548</stp>
        <tr r="H23" s="3"/>
        <tr r="H23" s="3"/>
        <tr r="H24" s="3"/>
        <tr r="H24" s="3"/>
        <tr r="H25" s="3"/>
        <tr r="H25" s="3"/>
        <tr r="H26" s="3"/>
        <tr r="H26" s="3"/>
        <tr r="H27" s="3"/>
        <tr r="H27" s="3"/>
        <tr r="H28" s="3"/>
        <tr r="H28" s="3"/>
        <tr r="H29" s="3"/>
        <tr r="H29" s="3"/>
        <tr r="H22" s="5"/>
        <tr r="H22" s="5"/>
        <tr r="H23" s="5"/>
        <tr r="H23" s="5"/>
        <tr r="H24" s="5"/>
        <tr r="H24" s="5"/>
        <tr r="H25" s="5"/>
        <tr r="H25" s="5"/>
      </tp>
      <tp t="e">
        <v>#N/A</v>
        <stp/>
        <stp>BDP|8383051570187548810</stp>
        <tr r="Q20" s="5"/>
      </tp>
      <tp t="e">
        <v>#N/A</v>
        <stp/>
        <stp>BDP|2004140279667676396</stp>
        <tr r="AS35" s="5"/>
        <tr r="AS34" s="5"/>
      </tp>
      <tp t="s">
        <v>#N/A N/A</v>
        <stp/>
        <stp>BDP|6677635312754682528</stp>
        <tr r="J9" s="3"/>
        <tr r="J10" s="3"/>
        <tr r="J10" s="5"/>
        <tr r="J11" s="5"/>
      </tp>
      <tp t="e">
        <v>#N/A</v>
        <stp/>
        <stp>BDP|4578968515945433929</stp>
        <tr r="I5" s="5"/>
      </tp>
      <tp t="e">
        <v>#N/A</v>
        <stp/>
        <stp>BDP|2300513863264507559</stp>
        <tr r="AL5" s="5"/>
      </tp>
      <tp t="e">
        <v>#N/A</v>
        <stp/>
        <stp>BDP|7403451460534546151</stp>
        <tr r="AU5" s="5"/>
        <tr r="AU5" s="5"/>
        <tr r="AU5" s="5"/>
      </tp>
      <tp t="e">
        <v>#N/A</v>
        <stp/>
        <stp>BDP|3667471593718199628</stp>
        <tr r="M17" s="3"/>
        <tr r="M17" s="3"/>
        <tr r="M18" s="3"/>
        <tr r="M18" s="3"/>
        <tr r="M19" s="3"/>
        <tr r="M19" s="3"/>
        <tr r="M20" s="3"/>
        <tr r="M20" s="3"/>
        <tr r="M21" s="3"/>
        <tr r="M21" s="3"/>
        <tr r="M22" s="3"/>
        <tr r="M22" s="3"/>
        <tr r="M18" s="5"/>
        <tr r="M18" s="5"/>
        <tr r="M19" s="5"/>
        <tr r="M19" s="5"/>
      </tp>
      <tp t="e">
        <v>#N/A</v>
        <stp/>
        <stp>BDP|4458421212555029455</stp>
        <tr r="H28" s="5"/>
      </tp>
      <tp t="e">
        <v>#N/A</v>
        <stp/>
        <stp>BDP|9659865467933300428</stp>
        <tr r="N8" s="3"/>
        <tr r="N9" s="5"/>
      </tp>
      <tp t="e">
        <v>#N/A</v>
        <stp/>
        <stp>BDP|6056854405496280857</stp>
        <tr r="N5" s="3"/>
        <tr r="N6" s="3"/>
        <tr r="N6" s="5"/>
      </tp>
      <tp t="e">
        <v>#N/A</v>
        <stp/>
        <stp>BDP|5825231167560326181</stp>
        <tr r="Z26" s="5"/>
      </tp>
      <tp t="e">
        <v>#N/A</v>
        <stp/>
        <stp>BDP|2505865484335969797</stp>
        <tr r="H10" s="3"/>
        <tr r="H9" s="3"/>
        <tr r="H10" s="5"/>
        <tr r="H11" s="5"/>
      </tp>
      <tp t="e">
        <v>#N/A</v>
        <stp/>
        <stp>BDP|1884038537811821300</stp>
        <tr r="E5" s="5"/>
      </tp>
      <tp t="e">
        <v>#N/A</v>
        <stp/>
        <stp>BDP|8251157834899383342</stp>
        <tr r="K38" s="5"/>
      </tp>
      <tp t="e">
        <v>#N/A</v>
        <stp/>
        <stp>BDP|1679027758755126184</stp>
        <tr r="AU29" s="5"/>
        <tr r="AU29" s="5"/>
        <tr r="AU29" s="5"/>
      </tp>
      <tp t="e">
        <v>#N/A</v>
        <stp/>
        <stp>BDP|4775642665940794443</stp>
        <tr r="AT3" s="5"/>
        <tr r="AT4" s="5"/>
      </tp>
      <tp t="e">
        <v>#N/A</v>
        <stp/>
        <stp>BDP|9060036180088607906</stp>
        <tr r="Y10" s="3"/>
        <tr r="Y9" s="3"/>
        <tr r="Y10" s="5"/>
        <tr r="Y11" s="5"/>
      </tp>
      <tp t="e">
        <v>#N/A</v>
        <stp/>
        <stp>BDP|8407201138501553936</stp>
        <tr r="K40" s="3"/>
        <tr r="K41" s="3"/>
        <tr r="K42" s="3"/>
        <tr r="K43" s="3"/>
        <tr r="K44" s="3"/>
        <tr r="K45" s="3"/>
        <tr r="K46" s="3"/>
        <tr r="K47" s="3"/>
        <tr r="K48" s="3"/>
        <tr r="K36" s="5"/>
        <tr r="K37" s="5"/>
      </tp>
      <tp t="e">
        <v>#N/A</v>
        <stp/>
        <stp>BDP|4751468309268251917</stp>
        <tr r="X30" s="3"/>
      </tp>
      <tp t="e">
        <v>#N/A</v>
        <stp/>
        <stp>BDP|6111353109513537739</stp>
        <tr r="AU33" s="3"/>
        <tr r="AU33" s="3"/>
        <tr r="AU33" s="3"/>
        <tr r="AU34" s="3"/>
        <tr r="AU34" s="3"/>
        <tr r="AU34" s="3"/>
        <tr r="AU35" s="3"/>
        <tr r="AU35" s="3"/>
        <tr r="AU35" s="3"/>
        <tr r="AU31" s="5"/>
        <tr r="AU31" s="5"/>
        <tr r="AU31" s="5"/>
      </tp>
      <tp t="e">
        <v>#N/A</v>
        <stp/>
        <stp>BDP|8687825801444466597</stp>
        <tr r="AK5" s="3"/>
        <tr r="AK5" s="3"/>
        <tr r="AK5" s="3"/>
        <tr r="AK6" s="3"/>
        <tr r="AK6" s="3"/>
        <tr r="AK6" s="3"/>
        <tr r="AK6" s="5"/>
        <tr r="AK6" s="5"/>
        <tr r="AK6" s="5"/>
      </tp>
      <tp t="e">
        <v>#N/A</v>
        <stp/>
        <stp>BDP|9979860430877457435</stp>
        <tr r="AM5" s="3"/>
        <tr r="AM5" s="3"/>
        <tr r="AM6" s="3"/>
        <tr r="AM6" s="3"/>
        <tr r="AM6" s="5"/>
        <tr r="AM6" s="5"/>
      </tp>
      <tp t="e">
        <v>#N/A</v>
        <stp/>
        <stp>BDP|3339929263618813538</stp>
        <tr r="AO38" s="3"/>
        <tr r="AO39" s="3"/>
        <tr r="AO32" s="5"/>
      </tp>
      <tp t="e">
        <v>#N/A</v>
        <stp/>
        <stp>BDP|8754912012837919621</stp>
        <tr r="AO3" s="5"/>
        <tr r="AO4" s="5"/>
      </tp>
      <tp t="e">
        <v>#N/A</v>
        <stp/>
        <stp>BDP|3683129814301665394</stp>
        <tr r="AU10" s="3"/>
        <tr r="AU10" s="3"/>
        <tr r="AU10" s="3"/>
        <tr r="AU9" s="3"/>
        <tr r="AU9" s="3"/>
        <tr r="AU9" s="3"/>
        <tr r="AU10" s="5"/>
        <tr r="AU10" s="5"/>
        <tr r="AU10" s="5"/>
        <tr r="AU11" s="5"/>
        <tr r="AU11" s="5"/>
        <tr r="AU11" s="5"/>
      </tp>
      <tp t="e">
        <v>#N/A</v>
        <stp/>
        <stp>BDP|3778644278007332443</stp>
        <tr r="AS33" s="5"/>
        <tr r="L33" s="5"/>
        <tr r="L33" s="5"/>
      </tp>
      <tp t="e">
        <v>#N/A</v>
        <stp/>
        <stp>BDP|6899869156598599203</stp>
        <tr r="AD29" s="5"/>
      </tp>
      <tp t="e">
        <v>#N/A</v>
        <stp/>
        <stp>BDP|2270709900454906064</stp>
        <tr r="AA7" s="3"/>
        <tr r="AA7" s="5"/>
        <tr r="AA8" s="5"/>
      </tp>
      <tp t="e">
        <v>#N/A</v>
        <stp/>
        <stp>BDP|2930066831477049731</stp>
        <tr r="W40" s="3"/>
        <tr r="W41" s="3"/>
        <tr r="W42" s="3"/>
        <tr r="W43" s="3"/>
        <tr r="W44" s="3"/>
        <tr r="W45" s="3"/>
        <tr r="W46" s="3"/>
        <tr r="W47" s="3"/>
        <tr r="W48" s="3"/>
        <tr r="W36" s="5"/>
        <tr r="W37" s="5"/>
      </tp>
      <tp t="e">
        <v>#N/A</v>
        <stp/>
        <stp>BDP|4552333306200112639</stp>
        <tr r="Y7" s="3"/>
        <tr r="Y7" s="5"/>
        <tr r="Y8" s="5"/>
      </tp>
      <tp t="e">
        <v>#N/A</v>
        <stp/>
        <stp>BDP|3292447578098439990</stp>
        <tr r="F29" s="5"/>
      </tp>
      <tp t="e">
        <v>#N/A</v>
        <stp/>
        <stp>BDP|9796303370998283466</stp>
        <tr r="Q38" s="5"/>
      </tp>
      <tp t="e">
        <v>#N/A</v>
        <stp/>
        <stp>BDP|6355312806221282552</stp>
        <tr r="AK11" s="3"/>
        <tr r="AK11" s="3"/>
        <tr r="AK11" s="3"/>
        <tr r="AK12" s="3"/>
        <tr r="AK12" s="3"/>
        <tr r="AK12" s="3"/>
        <tr r="AK12" s="5"/>
        <tr r="AK12" s="5"/>
        <tr r="AK12" s="5"/>
      </tp>
      <tp t="e">
        <v>#N/A</v>
        <stp/>
        <stp>BDP|4809500809584910486</stp>
        <tr r="I5" s="3"/>
        <tr r="I6" s="3"/>
        <tr r="I6" s="5"/>
      </tp>
      <tp t="e">
        <v>#N/A</v>
        <stp/>
        <stp>BDP|5902576086891013895</stp>
        <tr r="AS11" s="3"/>
        <tr r="AS12" s="3"/>
        <tr r="AS12" s="5"/>
      </tp>
      <tp t="e">
        <v>#N/A</v>
        <stp/>
        <stp>BDP|7873759996911314997</stp>
        <tr r="H27" s="5"/>
        <tr r="H27" s="5"/>
      </tp>
      <tp t="e">
        <v>#N/A</v>
        <stp/>
        <stp>BDP|7976639997439313083</stp>
        <tr r="AL34" s="5"/>
        <tr r="AL35" s="5"/>
      </tp>
      <tp t="e">
        <v>#N/A</v>
        <stp/>
        <stp>BDP|7731209446620533025</stp>
        <tr r="E7" s="3"/>
        <tr r="E7" s="5"/>
        <tr r="E8" s="5"/>
      </tp>
      <tp t="e">
        <v>#N/A</v>
        <stp/>
        <stp>BDP|3941687826613555544</stp>
        <tr r="AS27" s="5"/>
      </tp>
      <tp t="e">
        <v>#N/A</v>
        <stp/>
        <stp>BDP|5265335371355192568</stp>
        <tr r="H33" s="5"/>
        <tr r="H33" s="5"/>
      </tp>
      <tp t="e">
        <v>#N/A</v>
        <stp/>
        <stp>BDP|1961091707561057137</stp>
        <tr r="K28" s="5"/>
      </tp>
      <tp t="e">
        <v>#N/A</v>
        <stp/>
        <stp>BDP|7398256492594597951</stp>
        <tr r="AS28" s="5"/>
      </tp>
      <tp t="e">
        <v>#N/A</v>
        <stp/>
        <stp>BDP|4388064618076744102</stp>
        <tr r="AU36" s="3"/>
        <tr r="AU36" s="3"/>
        <tr r="AU36" s="3"/>
        <tr r="AU37" s="3"/>
        <tr r="AU37" s="3"/>
        <tr r="AU37" s="3"/>
      </tp>
      <tp t="e">
        <v>#N/A</v>
        <stp/>
        <stp>BDP|4479637168042467416</stp>
        <tr r="H38" s="3"/>
        <tr r="H38" s="3"/>
        <tr r="H39" s="3"/>
        <tr r="H39" s="3"/>
        <tr r="H32" s="5"/>
        <tr r="H32" s="5"/>
      </tp>
      <tp t="s">
        <v>#N/A N/A</v>
        <stp/>
        <stp>BDP|6407603773232609795</stp>
        <tr r="J23" s="3"/>
        <tr r="J24" s="3"/>
        <tr r="J25" s="3"/>
        <tr r="J26" s="3"/>
        <tr r="J27" s="3"/>
        <tr r="J28" s="3"/>
        <tr r="J29" s="3"/>
        <tr r="J22" s="5"/>
        <tr r="J23" s="5"/>
        <tr r="J24" s="5"/>
        <tr r="J25" s="5"/>
      </tp>
      <tp t="e">
        <v>#N/A</v>
        <stp/>
        <stp>BDP|4212043715182848555</stp>
        <tr r="AT36" s="3"/>
        <tr r="AT37" s="3"/>
      </tp>
      <tp t="e">
        <v>#N/A</v>
        <stp/>
        <stp>BDP|7766912291340828513</stp>
        <tr r="N17" s="3"/>
        <tr r="N18" s="3"/>
        <tr r="N19" s="3"/>
        <tr r="N20" s="3"/>
        <tr r="N21" s="3"/>
        <tr r="N22" s="3"/>
        <tr r="N18" s="5"/>
        <tr r="N19" s="5"/>
      </tp>
      <tp t="e">
        <v>#N/A</v>
        <stp/>
        <stp>BDP|7602391377155635419</stp>
        <tr r="H5" s="3"/>
        <tr r="H5" s="3"/>
        <tr r="H6" s="3"/>
        <tr r="H6" s="3"/>
        <tr r="H6" s="5"/>
        <tr r="H6" s="5"/>
      </tp>
      <tp t="e">
        <v>#N/A</v>
        <stp/>
        <stp>BDP|1729537070938004996</stp>
        <tr r="AM10" s="3"/>
        <tr r="AM10" s="3"/>
        <tr r="AM9" s="3"/>
        <tr r="AM9" s="3"/>
        <tr r="AM10" s="5"/>
        <tr r="AM10" s="5"/>
        <tr r="AM11" s="5"/>
        <tr r="AM11" s="5"/>
      </tp>
      <tp t="e">
        <v>#N/A</v>
        <stp/>
        <stp>BDP|3051771492956191997</stp>
        <tr r="AT13" s="3"/>
        <tr r="AT14" s="3"/>
        <tr r="AT15" s="3"/>
        <tr r="AT16" s="3"/>
        <tr r="AT13" s="5"/>
        <tr r="AT14" s="5"/>
        <tr r="AT15" s="5"/>
        <tr r="AT16" s="5"/>
        <tr r="AT17" s="5"/>
      </tp>
      <tp t="e">
        <v>#N/A</v>
        <stp/>
        <stp>BDP|2709994181298635943</stp>
        <tr r="V10" s="3"/>
        <tr r="V9" s="3"/>
        <tr r="V10" s="5"/>
        <tr r="V11" s="5"/>
      </tp>
      <tp t="e">
        <v>#N/A</v>
        <stp/>
        <stp>BDP|2113504945613063263</stp>
        <tr r="H33" s="3"/>
        <tr r="H33" s="3"/>
        <tr r="H34" s="3"/>
        <tr r="H34" s="3"/>
        <tr r="H35" s="3"/>
        <tr r="H35" s="3"/>
        <tr r="H31" s="5"/>
        <tr r="H31" s="5"/>
      </tp>
      <tp t="e">
        <v>#N/A</v>
        <stp/>
        <stp>BDP|1690436387556828996</stp>
        <tr r="N40" s="3"/>
        <tr r="N41" s="3"/>
        <tr r="N42" s="3"/>
        <tr r="N43" s="3"/>
        <tr r="N44" s="3"/>
        <tr r="N45" s="3"/>
        <tr r="N46" s="3"/>
        <tr r="N47" s="3"/>
        <tr r="N48" s="3"/>
        <tr r="N36" s="5"/>
        <tr r="N37" s="5"/>
      </tp>
      <tp t="e">
        <v>#N/A</v>
        <stp/>
        <stp>BDP|7336000941434714564</stp>
        <tr r="H38" s="3"/>
        <tr r="H39" s="3"/>
        <tr r="H32" s="5"/>
      </tp>
      <tp t="e">
        <v>#N/A</v>
        <stp/>
        <stp>BDP|1589239171336715004</stp>
        <tr r="V20" s="5"/>
      </tp>
      <tp t="e">
        <v>#N/A</v>
        <stp/>
        <stp>BDP|8191069013289405219</stp>
        <tr r="N36" s="3"/>
        <tr r="N37" s="3"/>
      </tp>
      <tp t="e">
        <v>#N/A</v>
        <stp/>
        <stp>BDP|9496243404781354814</stp>
        <tr r="H27" s="5"/>
        <tr r="H27" s="5"/>
      </tp>
      <tp t="e">
        <v>#N/A</v>
        <stp/>
        <stp>BDP|2991852739229959290</stp>
        <tr r="H40" s="3"/>
        <tr r="H40" s="3"/>
        <tr r="H41" s="3"/>
        <tr r="H41" s="3"/>
        <tr r="H42" s="3"/>
        <tr r="H42" s="3"/>
        <tr r="H43" s="3"/>
        <tr r="H43" s="3"/>
        <tr r="H44" s="3"/>
        <tr r="H44" s="3"/>
        <tr r="H45" s="3"/>
        <tr r="H45" s="3"/>
        <tr r="H46" s="3"/>
        <tr r="H46" s="3"/>
        <tr r="H47" s="3"/>
        <tr r="H47" s="3"/>
        <tr r="H48" s="3"/>
        <tr r="H48" s="3"/>
        <tr r="H36" s="5"/>
        <tr r="H36" s="5"/>
        <tr r="H37" s="5"/>
        <tr r="H37" s="5"/>
      </tp>
      <tp t="e">
        <v>#N/A</v>
        <stp/>
        <stp>BDP|8755257538348911361</stp>
        <tr r="AL23" s="3"/>
        <tr r="AL24" s="3"/>
        <tr r="AL25" s="3"/>
        <tr r="AL26" s="3"/>
        <tr r="AL27" s="3"/>
        <tr r="AL28" s="3"/>
        <tr r="AL29" s="3"/>
        <tr r="AL22" s="5"/>
        <tr r="AL23" s="5"/>
        <tr r="AL24" s="5"/>
        <tr r="AL25" s="5"/>
      </tp>
      <tp t="e">
        <v>#N/A</v>
        <stp/>
        <stp>BDP|4614530433342734245</stp>
        <tr r="F2" s="3"/>
        <tr r="F3" s="3"/>
        <tr r="F4" s="3"/>
        <tr r="F2" s="5"/>
      </tp>
      <tp t="e">
        <v>#N/A</v>
        <stp/>
        <stp>BDP|4601291245449115816</stp>
        <tr r="M30" s="3"/>
        <tr r="M30" s="3"/>
      </tp>
      <tp t="e">
        <v>#N/A</v>
        <stp/>
        <stp>BDP|3348297620186359631</stp>
        <tr r="AD3" s="5"/>
        <tr r="AD4" s="5"/>
      </tp>
      <tp t="e">
        <v>#N/A</v>
        <stp/>
        <stp>BDP|5107727539641621377</stp>
        <tr r="AE36" s="3"/>
        <tr r="AE37" s="3"/>
      </tp>
      <tp t="e">
        <v>#N/A</v>
        <stp/>
        <stp>BDP|2786422848974083550</stp>
        <tr r="N30" s="3"/>
      </tp>
      <tp t="e">
        <v>#N/A</v>
        <stp/>
        <stp>BDP|6429565921810892231</stp>
        <tr r="H28" s="5"/>
        <tr r="H28" s="5"/>
      </tp>
      <tp t="e">
        <v>#N/A</v>
        <stp/>
        <stp>BDP|1336678748141768127</stp>
        <tr r="AJ33" s="3"/>
        <tr r="AJ33" s="3"/>
        <tr r="AJ34" s="3"/>
        <tr r="AJ34" s="3"/>
        <tr r="AJ35" s="3"/>
        <tr r="AJ35" s="3"/>
      </tp>
      <tp t="e">
        <v>#N/A</v>
        <stp/>
        <stp>BDP|6409849468562297930</stp>
        <tr r="AL13" s="3"/>
        <tr r="AL14" s="3"/>
        <tr r="AL15" s="3"/>
        <tr r="AL16" s="3"/>
        <tr r="AL13" s="5"/>
        <tr r="AL14" s="5"/>
        <tr r="AL15" s="5"/>
        <tr r="AL16" s="5"/>
        <tr r="AL17" s="5"/>
      </tp>
      <tp t="e">
        <v>#N/A</v>
        <stp/>
        <stp>BDP|1409584339314285097</stp>
        <tr r="M13" s="3"/>
        <tr r="M13" s="3"/>
        <tr r="M14" s="3"/>
        <tr r="M14" s="3"/>
        <tr r="M15" s="3"/>
        <tr r="M15" s="3"/>
        <tr r="M16" s="3"/>
        <tr r="M16" s="3"/>
        <tr r="M13" s="5"/>
        <tr r="M13" s="5"/>
        <tr r="M14" s="5"/>
        <tr r="M14" s="5"/>
        <tr r="M15" s="5"/>
        <tr r="M15" s="5"/>
        <tr r="M16" s="5"/>
        <tr r="M16" s="5"/>
        <tr r="M17" s="5"/>
        <tr r="M17" s="5"/>
      </tp>
      <tp t="e">
        <v>#N/A</v>
        <stp/>
        <stp>BDP|2866542104055109170</stp>
        <tr r="AE10" s="3"/>
        <tr r="AE9" s="3"/>
        <tr r="AE10" s="5"/>
        <tr r="AE11" s="5"/>
      </tp>
      <tp t="e">
        <v>#N/A</v>
        <stp/>
        <stp>BDP|9849306370637272955</stp>
        <tr r="N7" s="3"/>
        <tr r="N7" s="5"/>
        <tr r="N8" s="5"/>
      </tp>
      <tp t="e">
        <v>#N/A</v>
        <stp/>
        <stp>BDP|8053262184398895964</stp>
        <tr r="AJ7" s="3"/>
        <tr r="AJ7" s="3"/>
      </tp>
      <tp t="s">
        <v>#N/A N/A</v>
        <stp/>
        <stp>BDP|4393600175380362684</stp>
        <tr r="J30" s="3"/>
      </tp>
      <tp t="e">
        <v>#N/A</v>
        <stp/>
        <stp>BDP|7238733599798704229</stp>
        <tr r="H2" s="3"/>
        <tr r="H2" s="3"/>
        <tr r="H3" s="3"/>
        <tr r="H3" s="3"/>
        <tr r="H4" s="3"/>
        <tr r="H4" s="3"/>
        <tr r="H2" s="5"/>
        <tr r="H2" s="5"/>
      </tp>
      <tp t="e">
        <v>#N/A</v>
        <stp/>
        <stp>BDP|7944861747641067955</stp>
        <tr r="H8" s="3"/>
        <tr r="H8" s="3"/>
        <tr r="H9" s="5"/>
        <tr r="H9" s="5"/>
      </tp>
      <tp t="e">
        <v>#N/A</v>
        <stp/>
        <stp>BDP|5411638029414901652</stp>
        <tr r="AA27" s="5"/>
      </tp>
      <tp t="e">
        <v>#N/A</v>
        <stp/>
        <stp>BDP|8331253773827506932</stp>
        <tr r="AS36" s="3"/>
        <tr r="AS37" s="3"/>
      </tp>
      <tp t="e">
        <v>#N/A</v>
        <stp/>
        <stp>BDP|4597157542972512042</stp>
        <tr r="H26" s="5"/>
        <tr r="H26" s="5"/>
      </tp>
      <tp t="e">
        <v>#N/A</v>
        <stp/>
        <stp>BDP|5638444741133259512</stp>
        <tr r="AD8" s="3"/>
        <tr r="AD9" s="5"/>
      </tp>
      <tp t="e">
        <v>#N/A</v>
        <stp/>
        <stp>BDP|6091211670783662379</stp>
        <tr r="I21" s="5"/>
      </tp>
      <tp t="e">
        <v>#N/A</v>
        <stp/>
        <stp>BDP|4811090488759837616</stp>
        <tr r="AT21" s="5"/>
      </tp>
      <tp t="e">
        <v>#N/A</v>
        <stp/>
        <stp>BDP|4602833261021731820</stp>
        <tr r="AJ30" s="3"/>
        <tr r="AJ30" s="3"/>
      </tp>
      <tp t="e">
        <v>#N/A</v>
        <stp/>
        <stp>BDP|7899178367064882719</stp>
        <tr r="H21" s="5"/>
        <tr r="H21" s="5"/>
      </tp>
      <tp t="e">
        <v>#N/A</v>
        <stp/>
        <stp>BDP|5666235005417748306</stp>
        <tr r="W2" s="3"/>
        <tr r="W3" s="3"/>
        <tr r="W4" s="3"/>
        <tr r="W2" s="5"/>
      </tp>
      <tp t="e">
        <v>#N/A</v>
        <stp/>
        <stp>BDP|8613721962068626249</stp>
        <tr r="N35" s="5"/>
        <tr r="N34" s="5"/>
      </tp>
      <tp t="e">
        <v>#N/A</v>
        <stp/>
        <stp>BDP|2232024032672363058</stp>
        <tr r="AO29" s="5"/>
      </tp>
      <tp t="e">
        <v>#N/A</v>
        <stp/>
        <stp>BDP|1323578915724458218</stp>
        <tr r="W28" s="5"/>
      </tp>
      <tp t="e">
        <v>#N/A</v>
        <stp/>
        <stp>BDP|2093649163488315906</stp>
        <tr r="Q17" s="3"/>
        <tr r="Q18" s="3"/>
        <tr r="Q19" s="3"/>
        <tr r="Q20" s="3"/>
        <tr r="Q21" s="3"/>
        <tr r="Q22" s="3"/>
        <tr r="Q18" s="5"/>
        <tr r="Q19" s="5"/>
      </tp>
      <tp t="e">
        <v>#N/A</v>
        <stp/>
        <stp>BDP|7474898629189399720</stp>
        <tr r="AU30" s="3"/>
        <tr r="AU30" s="3"/>
        <tr r="AU30" s="3"/>
      </tp>
      <tp t="e">
        <v>#N/A</v>
        <stp/>
        <stp>BDP|26031063448221722</stp>
        <tr r="Y31" s="3"/>
        <tr r="Y32" s="3"/>
        <tr r="Y30" s="5"/>
      </tp>
      <tp t="e">
        <v>#N/A</v>
        <stp/>
        <stp>BDP|27404843975360808</stp>
        <tr r="E5" s="3"/>
        <tr r="E6" s="3"/>
        <tr r="E6" s="5"/>
      </tp>
      <tp t="e">
        <v>#N/A</v>
        <stp/>
        <stp>BDP|41888378258648870</stp>
        <tr r="X23" s="3"/>
        <tr r="X24" s="3"/>
        <tr r="X25" s="3"/>
        <tr r="X26" s="3"/>
        <tr r="X27" s="3"/>
        <tr r="X28" s="3"/>
        <tr r="X29" s="3"/>
        <tr r="X22" s="5"/>
        <tr r="X23" s="5"/>
        <tr r="X24" s="5"/>
        <tr r="X25" s="5"/>
      </tp>
      <tp t="e">
        <v>#N/A</v>
        <stp/>
        <stp>BDP|16293015789900986</stp>
        <tr r="K26" s="5"/>
      </tp>
      <tp t="e">
        <v>#N/A</v>
        <stp/>
        <stp>BDP|56588950223830636</stp>
        <tr r="H31" s="3"/>
        <tr r="H31" s="3"/>
        <tr r="H32" s="3"/>
        <tr r="H32" s="3"/>
        <tr r="H30" s="5"/>
        <tr r="H30" s="5"/>
      </tp>
      <tp t="e">
        <v>#N/A</v>
        <stp/>
        <stp>BDP|515874049198117144</stp>
        <tr r="W5" s="3"/>
        <tr r="W6" s="3"/>
        <tr r="W6" s="5"/>
      </tp>
      <tp t="e">
        <v>#N/A</v>
        <stp/>
        <stp>BDP|454754848564322228</stp>
        <tr r="AS21" s="5"/>
      </tp>
      <tp t="e">
        <v>#N/A</v>
        <stp/>
        <stp>BDP|176486617897492675</stp>
        <tr r="AT11" s="3"/>
        <tr r="AT12" s="3"/>
        <tr r="AT12" s="5"/>
      </tp>
      <tp t="e">
        <v>#N/A</v>
        <stp/>
        <stp>BDP|153033434934648392</stp>
        <tr r="AD38" s="3"/>
        <tr r="AD39" s="3"/>
        <tr r="AD32" s="5"/>
      </tp>
      <tp t="e">
        <v>#N/A</v>
        <stp/>
        <stp>BDP|426491773912162583</stp>
        <tr r="AM17" s="3"/>
        <tr r="AM17" s="3"/>
        <tr r="AM18" s="3"/>
        <tr r="AM18" s="3"/>
        <tr r="AM19" s="3"/>
        <tr r="AM19" s="3"/>
        <tr r="AM20" s="3"/>
        <tr r="AM20" s="3"/>
        <tr r="AM21" s="3"/>
        <tr r="AM21" s="3"/>
        <tr r="AM22" s="3"/>
        <tr r="AM22" s="3"/>
        <tr r="AM18" s="5"/>
        <tr r="AM18" s="5"/>
        <tr r="AM19" s="5"/>
        <tr r="AM19" s="5"/>
      </tp>
      <tp t="e">
        <v>#N/A</v>
        <stp/>
        <stp>BDP|267467603922315254</stp>
        <tr r="AT38" s="3"/>
        <tr r="AT39" s="3"/>
        <tr r="AT32" s="5"/>
      </tp>
      <tp t="s">
        <v>#N/A N/A</v>
        <stp/>
        <stp>BDP|753573625624982434</stp>
        <tr r="J20" s="5"/>
      </tp>
      <tp t="e">
        <v>#N/A</v>
        <stp/>
        <stp>BDP|340807066278018100</stp>
        <tr r="W17" s="3"/>
        <tr r="W18" s="3"/>
        <tr r="W19" s="3"/>
        <tr r="W20" s="3"/>
        <tr r="W21" s="3"/>
        <tr r="W22" s="3"/>
        <tr r="W18" s="5"/>
        <tr r="W19" s="5"/>
      </tp>
      <tp t="e">
        <v>#N/A</v>
        <stp/>
        <stp>BDP|886879481532811504</stp>
        <tr r="Y40" s="3"/>
        <tr r="Y41" s="3"/>
        <tr r="Y42" s="3"/>
        <tr r="Y43" s="3"/>
        <tr r="Y44" s="3"/>
        <tr r="Y45" s="3"/>
        <tr r="Y46" s="3"/>
        <tr r="Y47" s="3"/>
        <tr r="Y48" s="3"/>
        <tr r="Y36" s="5"/>
        <tr r="Y37" s="5"/>
      </tp>
      <tp t="e">
        <v>#N/A</v>
        <stp/>
        <stp>BDP|963578427685564423</stp>
        <tr r="Z8" s="3"/>
        <tr r="Z9" s="5"/>
      </tp>
      <tp t="e">
        <v>#N/A</v>
        <stp/>
        <stp>BDP|483788453925600179</stp>
        <tr r="M8" s="3"/>
        <tr r="M8" s="3"/>
        <tr r="M9" s="5"/>
        <tr r="M9" s="5"/>
      </tp>
      <tp t="s">
        <v>#N/A N/A</v>
        <stp/>
        <stp>BDP|802559916236678425</stp>
        <tr r="J11" s="3"/>
        <tr r="J12" s="3"/>
        <tr r="J12" s="5"/>
      </tp>
      <tp t="e">
        <v>#N/A</v>
        <stp/>
        <stp>BDP|702539249771630618</stp>
        <tr r="I23" s="3"/>
        <tr r="I24" s="3"/>
        <tr r="I25" s="3"/>
        <tr r="I26" s="3"/>
        <tr r="I27" s="3"/>
        <tr r="I28" s="3"/>
        <tr r="I29" s="3"/>
        <tr r="I22" s="5"/>
        <tr r="I23" s="5"/>
        <tr r="I24" s="5"/>
        <tr r="I25" s="5"/>
      </tp>
      <tp t="e">
        <v>#N/A</v>
        <stp/>
        <stp>BDP|167768603933143583</stp>
        <tr r="V26" s="5"/>
      </tp>
      <tp t="e">
        <v>#N/A</v>
        <stp/>
        <stp>BDP|944566171707229410</stp>
        <tr r="K2" s="3"/>
        <tr r="K3" s="3"/>
        <tr r="K4" s="3"/>
        <tr r="K2" s="5"/>
      </tp>
      <tp t="e">
        <v>#N/A</v>
        <stp/>
        <stp>BDP|479468720755191260</stp>
        <tr r="AS13" s="3"/>
        <tr r="AS14" s="3"/>
        <tr r="AS15" s="3"/>
        <tr r="AS16" s="3"/>
        <tr r="AS13" s="5"/>
        <tr r="AS14" s="5"/>
        <tr r="AS15" s="5"/>
        <tr r="AS16" s="5"/>
        <tr r="AS17" s="5"/>
      </tp>
    </main>
    <main first="bofaddin.rtdserver">
      <tp t="e">
        <v>#N/A</v>
        <stp/>
        <stp>BDP|427198818329200953</stp>
        <tr r="Y38" s="5"/>
      </tp>
      <tp t="e">
        <v>#N/A</v>
        <stp/>
        <stp>BDP|668514577867897642</stp>
        <tr r="AL8" s="3"/>
        <tr r="AL9" s="5"/>
      </tp>
      <tp t="e">
        <v>#N/A</v>
        <stp/>
        <stp>BDP|986381478167422190</stp>
        <tr r="L28" s="5"/>
        <tr r="L28" s="5"/>
        <tr r="AS28" s="5"/>
      </tp>
      <tp t="e">
        <v>#N/A</v>
        <stp/>
        <stp>BDP|360347095261682947</stp>
        <tr r="AE33" s="5"/>
      </tp>
      <tp t="e">
        <v>#N/A</v>
        <stp/>
        <stp>BDP|962900473715561684</stp>
        <tr r="AO33" s="3"/>
        <tr r="AO34" s="3"/>
        <tr r="AO35" s="3"/>
        <tr r="AO31" s="5"/>
      </tp>
      <tp t="e">
        <v>#N/A</v>
        <stp/>
        <stp>BDP|346620456687099942</stp>
        <tr r="Q7" s="3"/>
        <tr r="Q7" s="5"/>
        <tr r="Q8" s="5"/>
      </tp>
      <tp t="e">
        <v>#N/A</v>
        <stp/>
        <stp>BDP|219302067761997806</stp>
        <tr r="AT38" s="5"/>
      </tp>
      <tp t="e">
        <v>#N/A</v>
        <stp/>
        <stp>BDP|808961545413040215</stp>
        <tr r="I38" s="5"/>
      </tp>
      <tp t="e">
        <v>#N/A</v>
        <stp/>
        <stp>BDP|728516259879075595</stp>
        <tr r="H5" s="5"/>
        <tr r="H5" s="5"/>
      </tp>
      <tp t="e">
        <v>#N/A</v>
        <stp/>
        <stp>BDP|619405431968640307</stp>
        <tr r="X11" s="3"/>
        <tr r="X12" s="3"/>
        <tr r="X12" s="5"/>
      </tp>
      <tp t="e">
        <v>#N/A</v>
        <stp/>
        <stp>BDP|894417591762420083</stp>
        <tr r="AA36" s="3"/>
        <tr r="AA37" s="3"/>
      </tp>
      <tp t="e">
        <v>#N/A</v>
        <stp/>
        <stp>BDP|524296129968680777</stp>
        <tr r="AU34" s="5"/>
        <tr r="AU34" s="5"/>
        <tr r="AU34" s="5"/>
        <tr r="AU35" s="5"/>
        <tr r="AU35" s="5"/>
        <tr r="AU35" s="5"/>
      </tp>
      <tp t="e">
        <v>#N/A</v>
        <stp/>
        <stp>BDP|868786007990314809</stp>
        <tr r="V38" s="3"/>
        <tr r="V39" s="3"/>
        <tr r="V32" s="5"/>
      </tp>
      <tp t="e">
        <v>#N/A</v>
        <stp/>
        <stp>BDP|732193792242273406</stp>
        <tr r="V8" s="3"/>
        <tr r="V9" s="5"/>
      </tp>
      <tp t="e">
        <v>#N/A</v>
        <stp/>
        <stp>BDP|774749890050115767</stp>
        <tr r="M20" s="5"/>
        <tr r="M20" s="5"/>
      </tp>
      <tp t="e">
        <v>#N/A</v>
        <stp/>
        <stp>BDP|536217112828706230</stp>
        <tr r="AU5" s="3"/>
        <tr r="AU5" s="3"/>
        <tr r="AU5" s="3"/>
        <tr r="AU6" s="3"/>
        <tr r="AU6" s="3"/>
        <tr r="AU6" s="3"/>
        <tr r="AU6" s="5"/>
        <tr r="AU6" s="5"/>
        <tr r="AU6" s="5"/>
      </tp>
      <tp t="e">
        <v>#N/A</v>
        <stp/>
        <stp>BDP|676463566169688232</stp>
        <tr r="F31" s="3"/>
        <tr r="F32" s="3"/>
        <tr r="F30" s="5"/>
      </tp>
      <tp t="e">
        <v>#N/A</v>
        <stp/>
        <stp>BDP|500465699117543228</stp>
        <tr r="F10" s="3"/>
        <tr r="F9" s="3"/>
        <tr r="F10" s="5"/>
        <tr r="F11" s="5"/>
      </tp>
      <tp t="e">
        <v>#N/A</v>
        <stp/>
        <stp>BDP|847072206459133220</stp>
        <tr r="AM11" s="3"/>
        <tr r="AM11" s="3"/>
        <tr r="AM12" s="3"/>
        <tr r="AM12" s="3"/>
        <tr r="AM12" s="5"/>
        <tr r="AM12" s="5"/>
      </tp>
      <tp t="e">
        <v>#N/A</v>
        <stp/>
        <stp>BDP|701157083407348591</stp>
        <tr r="L5" s="3"/>
        <tr r="L5" s="3"/>
        <tr r="L6" s="3"/>
        <tr r="L6" s="3"/>
        <tr r="L6" s="5"/>
        <tr r="L6" s="5"/>
        <tr r="AS5" s="3"/>
        <tr r="AS6" s="3"/>
        <tr r="AS6" s="5"/>
      </tp>
      <tp t="e">
        <v>#N/A</v>
        <stp/>
        <stp>BDP|998278586863408313</stp>
        <tr r="AS40" s="3"/>
        <tr r="AS41" s="3"/>
        <tr r="AS42" s="3"/>
        <tr r="AS43" s="3"/>
        <tr r="AS44" s="3"/>
        <tr r="AS45" s="3"/>
        <tr r="AS46" s="3"/>
        <tr r="AS47" s="3"/>
        <tr r="AS48" s="3"/>
        <tr r="AS36" s="5"/>
        <tr r="AS37" s="5"/>
      </tp>
      <tp t="e">
        <v>#N/A</v>
        <stp/>
        <stp>BDP|877037510168955371</stp>
        <tr r="Y5" s="5"/>
      </tp>
      <tp t="e">
        <v>#N/A</v>
        <stp/>
        <stp>BDP|808073526228903026</stp>
        <tr r="Q26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ommon\Investments%20-%202024\New%20Template%20-%20Portfolio%20Analysis\AUMs.xlsx" TargetMode="External"/><Relationship Id="rId1" Type="http://schemas.openxmlformats.org/officeDocument/2006/relationships/externalLinkPath" Target="/Common/Investments%20-%202024/New%20Template%20-%20Portfolio%20Analysis/AUM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lient\Excel%20Bloomberg\MASTER\FINAL\LTV%20Reports\2024\11%20Nov\BUCIULICA,%20ANTONIO%20-%2029.11.2024.xlsx" TargetMode="External"/><Relationship Id="rId1" Type="http://schemas.openxmlformats.org/officeDocument/2006/relationships/externalLinkPath" Target="/Client/Excel%20Bloomberg/MASTER/FINAL/LTV%20Reports/2024/11%20Nov/BUCIULICA,%20ANTONIO%20-%2029.11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pose Asset Allocation"/>
      <sheetName val="Current Asset Allocation"/>
      <sheetName val="Country Codes"/>
      <sheetName val="ISIN Input for Bond Charts"/>
      <sheetName val="DATA SHEET"/>
    </sheetNames>
    <sheetDataSet>
      <sheetData sheetId="0"/>
      <sheetData sheetId="1"/>
      <sheetData sheetId="2">
        <row r="2">
          <cell r="A2" t="str">
            <v>AX</v>
          </cell>
          <cell r="B2" t="str">
            <v>Aland Islands</v>
          </cell>
        </row>
        <row r="3">
          <cell r="A3" t="str">
            <v>AF</v>
          </cell>
          <cell r="B3" t="str">
            <v>Afghanistan</v>
          </cell>
        </row>
        <row r="4">
          <cell r="A4" t="str">
            <v>AL</v>
          </cell>
          <cell r="B4" t="str">
            <v>Albania</v>
          </cell>
        </row>
        <row r="5">
          <cell r="A5" t="str">
            <v>DZ</v>
          </cell>
          <cell r="B5" t="str">
            <v>Algeria</v>
          </cell>
        </row>
        <row r="6">
          <cell r="A6" t="str">
            <v>AS</v>
          </cell>
          <cell r="B6" t="str">
            <v>American Samoa</v>
          </cell>
        </row>
        <row r="7">
          <cell r="A7" t="str">
            <v>AD</v>
          </cell>
          <cell r="B7" t="str">
            <v>Andorra</v>
          </cell>
        </row>
        <row r="8">
          <cell r="A8" t="str">
            <v>AO</v>
          </cell>
          <cell r="B8" t="str">
            <v>Angola</v>
          </cell>
        </row>
        <row r="9">
          <cell r="A9" t="str">
            <v>AI</v>
          </cell>
          <cell r="B9" t="str">
            <v>Anguilla</v>
          </cell>
        </row>
        <row r="10">
          <cell r="A10" t="str">
            <v>AQ</v>
          </cell>
          <cell r="B10" t="str">
            <v>Antarctica</v>
          </cell>
        </row>
        <row r="11">
          <cell r="A11" t="str">
            <v>AG</v>
          </cell>
          <cell r="B11" t="str">
            <v>Antigua and Barbuda</v>
          </cell>
        </row>
        <row r="12">
          <cell r="A12" t="str">
            <v>AR</v>
          </cell>
          <cell r="B12" t="str">
            <v>Argentina</v>
          </cell>
        </row>
        <row r="13">
          <cell r="A13" t="str">
            <v>AM</v>
          </cell>
          <cell r="B13" t="str">
            <v>Armenia</v>
          </cell>
        </row>
        <row r="14">
          <cell r="A14" t="str">
            <v>AW</v>
          </cell>
          <cell r="B14" t="str">
            <v>Aruba</v>
          </cell>
        </row>
        <row r="15">
          <cell r="A15" t="str">
            <v>AU</v>
          </cell>
          <cell r="B15" t="str">
            <v>Australia</v>
          </cell>
        </row>
        <row r="16">
          <cell r="A16" t="str">
            <v>AT</v>
          </cell>
          <cell r="B16" t="str">
            <v>Austria</v>
          </cell>
        </row>
        <row r="17">
          <cell r="A17" t="str">
            <v>AZ</v>
          </cell>
          <cell r="B17" t="str">
            <v>Azerbaijan</v>
          </cell>
        </row>
        <row r="18">
          <cell r="A18" t="str">
            <v>BS</v>
          </cell>
          <cell r="B18" t="str">
            <v>Bahamas</v>
          </cell>
        </row>
        <row r="19">
          <cell r="A19" t="str">
            <v>BH</v>
          </cell>
          <cell r="B19" t="str">
            <v>Bahrain</v>
          </cell>
        </row>
        <row r="20">
          <cell r="A20" t="str">
            <v>BD</v>
          </cell>
          <cell r="B20" t="str">
            <v>Bangladesh</v>
          </cell>
        </row>
        <row r="21">
          <cell r="A21" t="str">
            <v>BB</v>
          </cell>
          <cell r="B21" t="str">
            <v>Barbados</v>
          </cell>
        </row>
        <row r="22">
          <cell r="A22" t="str">
            <v>BY</v>
          </cell>
          <cell r="B22" t="str">
            <v>Belarus</v>
          </cell>
        </row>
        <row r="23">
          <cell r="A23" t="str">
            <v>BE</v>
          </cell>
          <cell r="B23" t="str">
            <v>Belgium</v>
          </cell>
        </row>
        <row r="24">
          <cell r="A24" t="str">
            <v>BZ</v>
          </cell>
          <cell r="B24" t="str">
            <v>Belize</v>
          </cell>
        </row>
        <row r="25">
          <cell r="A25" t="str">
            <v>BJ</v>
          </cell>
          <cell r="B25" t="str">
            <v>Benin</v>
          </cell>
        </row>
        <row r="26">
          <cell r="A26" t="str">
            <v>BM</v>
          </cell>
          <cell r="B26" t="str">
            <v>Bermuda</v>
          </cell>
        </row>
        <row r="27">
          <cell r="A27" t="str">
            <v>BT</v>
          </cell>
          <cell r="B27" t="str">
            <v>Bhutan</v>
          </cell>
        </row>
        <row r="28">
          <cell r="A28" t="str">
            <v>BO</v>
          </cell>
          <cell r="B28" t="str">
            <v>Bolivia</v>
          </cell>
        </row>
        <row r="29">
          <cell r="A29" t="str">
            <v>BQ</v>
          </cell>
          <cell r="B29" t="str">
            <v>Bonaire, Saint Eustatius and Saba</v>
          </cell>
        </row>
        <row r="30">
          <cell r="A30" t="str">
            <v>BA</v>
          </cell>
          <cell r="B30" t="str">
            <v>Bosnia and Herzegovina</v>
          </cell>
        </row>
        <row r="31">
          <cell r="A31" t="str">
            <v>BW</v>
          </cell>
          <cell r="B31" t="str">
            <v>Botswana</v>
          </cell>
        </row>
        <row r="32">
          <cell r="A32" t="str">
            <v>BV</v>
          </cell>
          <cell r="B32" t="str">
            <v>Bouvet Island</v>
          </cell>
        </row>
        <row r="33">
          <cell r="A33" t="str">
            <v>BR</v>
          </cell>
          <cell r="B33" t="str">
            <v>Brazil</v>
          </cell>
        </row>
        <row r="34">
          <cell r="A34" t="str">
            <v>IO</v>
          </cell>
          <cell r="B34" t="str">
            <v>British Indian Ocean Territory</v>
          </cell>
        </row>
        <row r="35">
          <cell r="A35" t="str">
            <v>BN</v>
          </cell>
          <cell r="B35" t="str">
            <v>Brunei Darussalam</v>
          </cell>
        </row>
        <row r="36">
          <cell r="A36" t="str">
            <v>BG</v>
          </cell>
          <cell r="B36" t="str">
            <v>Bulgaria</v>
          </cell>
        </row>
        <row r="37">
          <cell r="A37" t="str">
            <v>BF</v>
          </cell>
          <cell r="B37" t="str">
            <v>Burkina Faso</v>
          </cell>
        </row>
        <row r="38">
          <cell r="A38" t="str">
            <v>BI</v>
          </cell>
          <cell r="B38" t="str">
            <v>Burundi</v>
          </cell>
        </row>
        <row r="39">
          <cell r="A39" t="str">
            <v>KH</v>
          </cell>
          <cell r="B39" t="str">
            <v>Cambodia</v>
          </cell>
        </row>
        <row r="40">
          <cell r="A40" t="str">
            <v>CM</v>
          </cell>
          <cell r="B40" t="str">
            <v>Cameroon</v>
          </cell>
        </row>
        <row r="41">
          <cell r="A41" t="str">
            <v>CA</v>
          </cell>
          <cell r="B41" t="str">
            <v>Canada</v>
          </cell>
        </row>
        <row r="42">
          <cell r="A42" t="str">
            <v>CV</v>
          </cell>
          <cell r="B42" t="str">
            <v>Cape Verde</v>
          </cell>
        </row>
        <row r="43">
          <cell r="A43" t="str">
            <v>KY</v>
          </cell>
          <cell r="B43" t="str">
            <v>Cayman Islands</v>
          </cell>
        </row>
        <row r="44">
          <cell r="A44" t="str">
            <v>CF</v>
          </cell>
          <cell r="B44" t="str">
            <v>Central African Republic</v>
          </cell>
        </row>
        <row r="45">
          <cell r="A45" t="str">
            <v>TD</v>
          </cell>
          <cell r="B45" t="str">
            <v>Chad</v>
          </cell>
        </row>
        <row r="46">
          <cell r="A46" t="str">
            <v>CL</v>
          </cell>
          <cell r="B46" t="str">
            <v>Chile</v>
          </cell>
        </row>
        <row r="47">
          <cell r="A47" t="str">
            <v>CN</v>
          </cell>
          <cell r="B47" t="str">
            <v>China</v>
          </cell>
        </row>
        <row r="48">
          <cell r="A48" t="str">
            <v>CX</v>
          </cell>
          <cell r="B48" t="str">
            <v>Christmas Island</v>
          </cell>
        </row>
        <row r="49">
          <cell r="A49" t="str">
            <v>CC</v>
          </cell>
          <cell r="B49" t="str">
            <v>Cocos (Keeling) Islands</v>
          </cell>
        </row>
        <row r="50">
          <cell r="A50" t="str">
            <v>CO</v>
          </cell>
          <cell r="B50" t="str">
            <v>Colombia</v>
          </cell>
        </row>
        <row r="51">
          <cell r="A51" t="str">
            <v>KM</v>
          </cell>
          <cell r="B51" t="str">
            <v>Comoros (the)</v>
          </cell>
        </row>
        <row r="52">
          <cell r="A52" t="str">
            <v>CD</v>
          </cell>
          <cell r="B52" t="str">
            <v>Congo</v>
          </cell>
        </row>
        <row r="53">
          <cell r="A53" t="str">
            <v>CG</v>
          </cell>
          <cell r="B53" t="str">
            <v>Congo, The Democratic Republic of the</v>
          </cell>
        </row>
        <row r="54">
          <cell r="A54" t="str">
            <v>CK</v>
          </cell>
          <cell r="B54" t="str">
            <v>Cook Islands</v>
          </cell>
        </row>
        <row r="55">
          <cell r="A55" t="str">
            <v>CR</v>
          </cell>
          <cell r="B55" t="str">
            <v>Costa Rica</v>
          </cell>
        </row>
        <row r="56">
          <cell r="A56" t="str">
            <v>CI</v>
          </cell>
          <cell r="B56" t="str">
            <v>Côte D'Ivoire</v>
          </cell>
        </row>
        <row r="57">
          <cell r="A57" t="str">
            <v>HR</v>
          </cell>
          <cell r="B57" t="str">
            <v>Croatia</v>
          </cell>
        </row>
        <row r="58">
          <cell r="A58" t="str">
            <v>CU</v>
          </cell>
          <cell r="B58" t="str">
            <v>Cuba</v>
          </cell>
        </row>
        <row r="59">
          <cell r="A59" t="str">
            <v>CW</v>
          </cell>
          <cell r="B59" t="str">
            <v>Curaçao</v>
          </cell>
        </row>
        <row r="60">
          <cell r="A60" t="str">
            <v>CY</v>
          </cell>
          <cell r="B60" t="str">
            <v>Cyprus</v>
          </cell>
        </row>
        <row r="61">
          <cell r="A61" t="str">
            <v>CZ</v>
          </cell>
          <cell r="B61" t="str">
            <v>Czech Republic</v>
          </cell>
        </row>
        <row r="62">
          <cell r="A62" t="str">
            <v>DK</v>
          </cell>
          <cell r="B62" t="str">
            <v>Denmark</v>
          </cell>
        </row>
        <row r="63">
          <cell r="A63" t="str">
            <v>DJ</v>
          </cell>
          <cell r="B63" t="str">
            <v>Djibouti</v>
          </cell>
        </row>
        <row r="64">
          <cell r="A64" t="str">
            <v>DM</v>
          </cell>
          <cell r="B64" t="str">
            <v>Dominica</v>
          </cell>
        </row>
        <row r="65">
          <cell r="A65" t="str">
            <v>DO</v>
          </cell>
          <cell r="B65" t="str">
            <v>Dominican Republic</v>
          </cell>
        </row>
        <row r="66">
          <cell r="A66" t="str">
            <v>EC</v>
          </cell>
          <cell r="B66" t="str">
            <v>Ecuador</v>
          </cell>
        </row>
        <row r="67">
          <cell r="A67" t="str">
            <v>EG</v>
          </cell>
          <cell r="B67" t="str">
            <v>Egypt</v>
          </cell>
        </row>
        <row r="68">
          <cell r="A68" t="str">
            <v>SV</v>
          </cell>
          <cell r="B68" t="str">
            <v>El Salvador</v>
          </cell>
        </row>
        <row r="69">
          <cell r="A69" t="str">
            <v>GQ</v>
          </cell>
          <cell r="B69" t="str">
            <v>Equatorial Guinea</v>
          </cell>
        </row>
        <row r="70">
          <cell r="A70" t="str">
            <v>ER</v>
          </cell>
          <cell r="B70" t="str">
            <v>Eritrea</v>
          </cell>
        </row>
        <row r="71">
          <cell r="A71" t="str">
            <v>EE</v>
          </cell>
          <cell r="B71" t="str">
            <v>Estonia</v>
          </cell>
        </row>
        <row r="72">
          <cell r="A72" t="str">
            <v>SZ</v>
          </cell>
          <cell r="B72" t="str">
            <v>Eswatini</v>
          </cell>
        </row>
        <row r="73">
          <cell r="A73" t="str">
            <v>ET</v>
          </cell>
          <cell r="B73" t="str">
            <v>Ethiopia</v>
          </cell>
        </row>
        <row r="74">
          <cell r="A74" t="str">
            <v>FK</v>
          </cell>
          <cell r="B74" t="str">
            <v>Falkland Islands (Malvinas)</v>
          </cell>
        </row>
        <row r="75">
          <cell r="A75" t="str">
            <v>FO</v>
          </cell>
          <cell r="B75" t="str">
            <v>Faroe Islands</v>
          </cell>
        </row>
        <row r="76">
          <cell r="A76" t="str">
            <v>FJ</v>
          </cell>
          <cell r="B76" t="str">
            <v>Fiji</v>
          </cell>
        </row>
        <row r="77">
          <cell r="A77" t="str">
            <v>FI</v>
          </cell>
          <cell r="B77" t="str">
            <v>Finland</v>
          </cell>
        </row>
        <row r="78">
          <cell r="A78" t="str">
            <v>FR</v>
          </cell>
          <cell r="B78" t="str">
            <v>France</v>
          </cell>
        </row>
        <row r="79">
          <cell r="A79" t="str">
            <v>GF</v>
          </cell>
          <cell r="B79" t="str">
            <v>French Guiana</v>
          </cell>
        </row>
        <row r="80">
          <cell r="A80" t="str">
            <v>PF</v>
          </cell>
          <cell r="B80" t="str">
            <v>French Polynesia</v>
          </cell>
        </row>
        <row r="81">
          <cell r="A81" t="str">
            <v>TF</v>
          </cell>
          <cell r="B81" t="str">
            <v>French Southern Territories</v>
          </cell>
        </row>
        <row r="82">
          <cell r="A82" t="str">
            <v>GA</v>
          </cell>
          <cell r="B82" t="str">
            <v>Gabon</v>
          </cell>
        </row>
        <row r="83">
          <cell r="A83" t="str">
            <v>GM</v>
          </cell>
          <cell r="B83" t="str">
            <v>Gambia</v>
          </cell>
        </row>
        <row r="84">
          <cell r="A84" t="str">
            <v>GE</v>
          </cell>
          <cell r="B84" t="str">
            <v>Georgia</v>
          </cell>
        </row>
        <row r="85">
          <cell r="A85" t="str">
            <v>DE</v>
          </cell>
          <cell r="B85" t="str">
            <v>Germany</v>
          </cell>
        </row>
        <row r="86">
          <cell r="A86" t="str">
            <v>GH</v>
          </cell>
          <cell r="B86" t="str">
            <v>Ghana</v>
          </cell>
        </row>
        <row r="87">
          <cell r="A87" t="str">
            <v>GI</v>
          </cell>
          <cell r="B87" t="str">
            <v>Gibraltar</v>
          </cell>
        </row>
        <row r="88">
          <cell r="A88" t="str">
            <v>GR</v>
          </cell>
          <cell r="B88" t="str">
            <v>Greece</v>
          </cell>
        </row>
        <row r="89">
          <cell r="A89" t="str">
            <v>GL</v>
          </cell>
          <cell r="B89" t="str">
            <v>Greenland</v>
          </cell>
        </row>
        <row r="90">
          <cell r="A90" t="str">
            <v>GD</v>
          </cell>
          <cell r="B90" t="str">
            <v>Grenada</v>
          </cell>
        </row>
        <row r="91">
          <cell r="A91" t="str">
            <v>GP</v>
          </cell>
          <cell r="B91" t="str">
            <v>Guadeloupe</v>
          </cell>
        </row>
        <row r="92">
          <cell r="A92" t="str">
            <v>GU</v>
          </cell>
          <cell r="B92" t="str">
            <v>Guam</v>
          </cell>
        </row>
        <row r="93">
          <cell r="A93" t="str">
            <v>GT</v>
          </cell>
          <cell r="B93" t="str">
            <v>Guatemala</v>
          </cell>
        </row>
        <row r="94">
          <cell r="A94" t="str">
            <v>GG</v>
          </cell>
          <cell r="B94" t="str">
            <v>Guernsey</v>
          </cell>
        </row>
        <row r="95">
          <cell r="A95" t="str">
            <v>GN</v>
          </cell>
          <cell r="B95" t="str">
            <v>Guinea</v>
          </cell>
        </row>
        <row r="96">
          <cell r="A96" t="str">
            <v>GW</v>
          </cell>
          <cell r="B96" t="str">
            <v>Guinea-Bissau</v>
          </cell>
        </row>
        <row r="97">
          <cell r="A97" t="str">
            <v>GY</v>
          </cell>
          <cell r="B97" t="str">
            <v>Guyana</v>
          </cell>
        </row>
        <row r="98">
          <cell r="A98" t="str">
            <v>HT</v>
          </cell>
          <cell r="B98" t="str">
            <v>Haiti</v>
          </cell>
        </row>
        <row r="99">
          <cell r="A99" t="str">
            <v>HM</v>
          </cell>
          <cell r="B99" t="str">
            <v>Heard Island and McDonald Islands</v>
          </cell>
        </row>
        <row r="100">
          <cell r="A100" t="str">
            <v>VA</v>
          </cell>
          <cell r="B100" t="str">
            <v>Holy See (Vatican City State)</v>
          </cell>
        </row>
        <row r="101">
          <cell r="A101" t="str">
            <v>HN</v>
          </cell>
          <cell r="B101" t="str">
            <v>Honduras</v>
          </cell>
        </row>
        <row r="102">
          <cell r="A102" t="str">
            <v>HK</v>
          </cell>
          <cell r="B102" t="str">
            <v>Hong Kong</v>
          </cell>
        </row>
        <row r="103">
          <cell r="A103" t="str">
            <v>HU</v>
          </cell>
          <cell r="B103" t="str">
            <v>Hungary</v>
          </cell>
        </row>
        <row r="104">
          <cell r="A104" t="str">
            <v>IS</v>
          </cell>
          <cell r="B104" t="str">
            <v>Iceland</v>
          </cell>
        </row>
        <row r="105">
          <cell r="A105" t="str">
            <v>IN</v>
          </cell>
          <cell r="B105" t="str">
            <v>India</v>
          </cell>
        </row>
        <row r="106">
          <cell r="A106" t="str">
            <v>ID</v>
          </cell>
          <cell r="B106" t="str">
            <v>Indonesia</v>
          </cell>
        </row>
        <row r="107">
          <cell r="A107" t="str">
            <v>IR</v>
          </cell>
          <cell r="B107" t="str">
            <v>Iran, Islamic Republic of</v>
          </cell>
        </row>
        <row r="108">
          <cell r="A108" t="str">
            <v>IQ</v>
          </cell>
          <cell r="B108" t="str">
            <v>Iraq</v>
          </cell>
        </row>
        <row r="109">
          <cell r="A109" t="str">
            <v>IE</v>
          </cell>
          <cell r="B109" t="str">
            <v>Ireland</v>
          </cell>
        </row>
        <row r="110">
          <cell r="A110" t="str">
            <v>IM</v>
          </cell>
          <cell r="B110" t="str">
            <v>Isle of Man</v>
          </cell>
        </row>
        <row r="111">
          <cell r="A111" t="str">
            <v>IL</v>
          </cell>
          <cell r="B111" t="str">
            <v>Israel</v>
          </cell>
        </row>
        <row r="112">
          <cell r="A112" t="str">
            <v>IT</v>
          </cell>
          <cell r="B112" t="str">
            <v>Italy</v>
          </cell>
        </row>
        <row r="113">
          <cell r="A113" t="str">
            <v>JM</v>
          </cell>
          <cell r="B113" t="str">
            <v>Jamaica</v>
          </cell>
        </row>
        <row r="114">
          <cell r="A114" t="str">
            <v>JP</v>
          </cell>
          <cell r="B114" t="str">
            <v>Japan</v>
          </cell>
        </row>
        <row r="115">
          <cell r="A115" t="str">
            <v>JE</v>
          </cell>
          <cell r="B115" t="str">
            <v>Jersey</v>
          </cell>
        </row>
        <row r="116">
          <cell r="A116" t="str">
            <v>JO</v>
          </cell>
          <cell r="B116" t="str">
            <v>Jordan</v>
          </cell>
        </row>
        <row r="117">
          <cell r="A117" t="str">
            <v>KZ</v>
          </cell>
          <cell r="B117" t="str">
            <v>Kazakhstan</v>
          </cell>
        </row>
        <row r="118">
          <cell r="A118" t="str">
            <v>KE</v>
          </cell>
          <cell r="B118" t="str">
            <v>Kenya</v>
          </cell>
        </row>
        <row r="119">
          <cell r="A119" t="str">
            <v>KI</v>
          </cell>
          <cell r="B119" t="str">
            <v>Kiribati</v>
          </cell>
        </row>
        <row r="120">
          <cell r="A120" t="str">
            <v>KP</v>
          </cell>
          <cell r="B120" t="str">
            <v>Korea, Democratic People's Republic of</v>
          </cell>
        </row>
        <row r="121">
          <cell r="A121" t="str">
            <v>KR</v>
          </cell>
          <cell r="B121" t="str">
            <v>Korea, Republic of</v>
          </cell>
        </row>
        <row r="122">
          <cell r="A122" t="str">
            <v>KW</v>
          </cell>
          <cell r="B122" t="str">
            <v>Kuwait</v>
          </cell>
        </row>
        <row r="123">
          <cell r="A123" t="str">
            <v>KG</v>
          </cell>
          <cell r="B123" t="str">
            <v>Kyrgyzstan</v>
          </cell>
        </row>
        <row r="124">
          <cell r="A124" t="str">
            <v>LA</v>
          </cell>
          <cell r="B124" t="str">
            <v>Lao People's Democratic Republic</v>
          </cell>
        </row>
        <row r="125">
          <cell r="A125" t="str">
            <v>LV</v>
          </cell>
          <cell r="B125" t="str">
            <v>Latvia</v>
          </cell>
        </row>
        <row r="126">
          <cell r="A126" t="str">
            <v>LB</v>
          </cell>
          <cell r="B126" t="str">
            <v>Lebanon</v>
          </cell>
        </row>
        <row r="127">
          <cell r="A127" t="str">
            <v>LS</v>
          </cell>
          <cell r="B127" t="str">
            <v>Lesotho</v>
          </cell>
        </row>
        <row r="128">
          <cell r="A128" t="str">
            <v>LR</v>
          </cell>
          <cell r="B128" t="str">
            <v>Liberia</v>
          </cell>
        </row>
        <row r="129">
          <cell r="A129" t="str">
            <v>LY</v>
          </cell>
          <cell r="B129" t="str">
            <v>Libya</v>
          </cell>
        </row>
        <row r="130">
          <cell r="A130" t="str">
            <v>LI</v>
          </cell>
          <cell r="B130" t="str">
            <v>Liechtenstein</v>
          </cell>
        </row>
        <row r="131">
          <cell r="A131" t="str">
            <v>LT</v>
          </cell>
          <cell r="B131" t="str">
            <v>Lithuania</v>
          </cell>
        </row>
        <row r="132">
          <cell r="A132" t="str">
            <v>LU</v>
          </cell>
          <cell r="B132" t="str">
            <v>Luxembourg</v>
          </cell>
        </row>
        <row r="133">
          <cell r="A133" t="str">
            <v>MO</v>
          </cell>
          <cell r="B133" t="str">
            <v>Macau</v>
          </cell>
        </row>
        <row r="134">
          <cell r="A134" t="str">
            <v>MK</v>
          </cell>
          <cell r="B134" t="str">
            <v>Macedonia</v>
          </cell>
        </row>
        <row r="135">
          <cell r="A135" t="str">
            <v>MG</v>
          </cell>
          <cell r="B135" t="str">
            <v>Madagascar</v>
          </cell>
        </row>
        <row r="136">
          <cell r="A136" t="str">
            <v>MW</v>
          </cell>
          <cell r="B136" t="str">
            <v>Malawi</v>
          </cell>
        </row>
        <row r="137">
          <cell r="A137" t="str">
            <v>MY</v>
          </cell>
          <cell r="B137" t="str">
            <v>Malaysia</v>
          </cell>
        </row>
        <row r="138">
          <cell r="A138" t="str">
            <v>MV</v>
          </cell>
          <cell r="B138" t="str">
            <v>Maldives</v>
          </cell>
        </row>
        <row r="139">
          <cell r="A139" t="str">
            <v>ML</v>
          </cell>
          <cell r="B139" t="str">
            <v>Mali</v>
          </cell>
        </row>
        <row r="140">
          <cell r="A140" t="str">
            <v>MT</v>
          </cell>
          <cell r="B140" t="str">
            <v>Malta</v>
          </cell>
        </row>
        <row r="141">
          <cell r="A141" t="str">
            <v>MH</v>
          </cell>
          <cell r="B141" t="str">
            <v>Marshall Islands</v>
          </cell>
        </row>
        <row r="142">
          <cell r="A142" t="str">
            <v>MQ</v>
          </cell>
          <cell r="B142" t="str">
            <v>Martinique</v>
          </cell>
        </row>
        <row r="143">
          <cell r="A143" t="str">
            <v>MR</v>
          </cell>
          <cell r="B143" t="str">
            <v>Mauritania</v>
          </cell>
        </row>
        <row r="144">
          <cell r="A144" t="str">
            <v>MU</v>
          </cell>
          <cell r="B144" t="str">
            <v>Mauritius</v>
          </cell>
        </row>
        <row r="145">
          <cell r="A145" t="str">
            <v>YT</v>
          </cell>
          <cell r="B145" t="str">
            <v>Mayotte</v>
          </cell>
        </row>
        <row r="146">
          <cell r="A146" t="str">
            <v>MX</v>
          </cell>
          <cell r="B146" t="str">
            <v>Mexico</v>
          </cell>
        </row>
        <row r="147">
          <cell r="A147" t="str">
            <v>FM</v>
          </cell>
          <cell r="B147" t="str">
            <v>Micronesia, Federated States of</v>
          </cell>
        </row>
        <row r="148">
          <cell r="A148" t="str">
            <v>MD</v>
          </cell>
          <cell r="B148" t="str">
            <v>Moldova, Republic of</v>
          </cell>
        </row>
        <row r="149">
          <cell r="A149" t="str">
            <v>MC</v>
          </cell>
          <cell r="B149" t="str">
            <v>Monaco</v>
          </cell>
        </row>
        <row r="150">
          <cell r="A150" t="str">
            <v>MN</v>
          </cell>
          <cell r="B150" t="str">
            <v>Mongolia</v>
          </cell>
        </row>
        <row r="151">
          <cell r="A151" t="str">
            <v>ME</v>
          </cell>
          <cell r="B151" t="str">
            <v>Montenegro</v>
          </cell>
        </row>
        <row r="152">
          <cell r="A152" t="str">
            <v>MS</v>
          </cell>
          <cell r="B152" t="str">
            <v>Montserrat</v>
          </cell>
        </row>
        <row r="153">
          <cell r="A153" t="str">
            <v>MA</v>
          </cell>
          <cell r="B153" t="str">
            <v>Morocco</v>
          </cell>
        </row>
        <row r="154">
          <cell r="A154" t="str">
            <v>MZ</v>
          </cell>
          <cell r="B154" t="str">
            <v>Mozambique</v>
          </cell>
        </row>
        <row r="155">
          <cell r="A155" t="str">
            <v>MM</v>
          </cell>
          <cell r="B155" t="str">
            <v>Myanmar</v>
          </cell>
        </row>
        <row r="156">
          <cell r="A156" t="str">
            <v>NA</v>
          </cell>
          <cell r="B156" t="str">
            <v>Namibia</v>
          </cell>
        </row>
        <row r="157">
          <cell r="A157" t="str">
            <v>NR</v>
          </cell>
          <cell r="B157" t="str">
            <v>Nauru</v>
          </cell>
        </row>
        <row r="158">
          <cell r="A158" t="str">
            <v>NP</v>
          </cell>
          <cell r="B158" t="str">
            <v>Nepal</v>
          </cell>
        </row>
        <row r="159">
          <cell r="A159" t="str">
            <v>NL</v>
          </cell>
          <cell r="B159" t="str">
            <v>Netherlands</v>
          </cell>
        </row>
        <row r="160">
          <cell r="A160" t="str">
            <v>NC</v>
          </cell>
          <cell r="B160" t="str">
            <v>New Caledonia</v>
          </cell>
        </row>
        <row r="161">
          <cell r="A161" t="str">
            <v>NZ</v>
          </cell>
          <cell r="B161" t="str">
            <v>New Zealand</v>
          </cell>
        </row>
        <row r="162">
          <cell r="A162" t="str">
            <v>NI</v>
          </cell>
          <cell r="B162" t="str">
            <v>Nicaragua</v>
          </cell>
        </row>
        <row r="163">
          <cell r="A163" t="str">
            <v>NE</v>
          </cell>
          <cell r="B163" t="str">
            <v>Niger</v>
          </cell>
        </row>
        <row r="164">
          <cell r="A164" t="str">
            <v>NG</v>
          </cell>
          <cell r="B164" t="str">
            <v>Nigeria</v>
          </cell>
        </row>
        <row r="165">
          <cell r="A165" t="str">
            <v>NU</v>
          </cell>
          <cell r="B165" t="str">
            <v>Niue</v>
          </cell>
        </row>
        <row r="166">
          <cell r="A166" t="str">
            <v>NF</v>
          </cell>
          <cell r="B166" t="str">
            <v>Norfolk Island</v>
          </cell>
        </row>
        <row r="167">
          <cell r="A167" t="str">
            <v>MP</v>
          </cell>
          <cell r="B167" t="str">
            <v>Northern Mariana Islands</v>
          </cell>
        </row>
        <row r="168">
          <cell r="A168" t="str">
            <v>NO</v>
          </cell>
          <cell r="B168" t="str">
            <v>Norway</v>
          </cell>
        </row>
        <row r="169">
          <cell r="A169" t="str">
            <v>OM</v>
          </cell>
          <cell r="B169" t="str">
            <v>Oman</v>
          </cell>
        </row>
        <row r="170">
          <cell r="A170" t="str">
            <v>PK</v>
          </cell>
          <cell r="B170" t="str">
            <v>Pakistan</v>
          </cell>
        </row>
        <row r="171">
          <cell r="A171" t="str">
            <v>PW</v>
          </cell>
          <cell r="B171" t="str">
            <v>Palau</v>
          </cell>
        </row>
        <row r="172">
          <cell r="A172" t="str">
            <v>PS</v>
          </cell>
          <cell r="B172" t="str">
            <v>Palestinian Territory</v>
          </cell>
        </row>
        <row r="173">
          <cell r="A173" t="str">
            <v>PA</v>
          </cell>
          <cell r="B173" t="str">
            <v>Panama</v>
          </cell>
        </row>
        <row r="174">
          <cell r="A174" t="str">
            <v>PG</v>
          </cell>
          <cell r="B174" t="str">
            <v>Papua New Guinea</v>
          </cell>
        </row>
        <row r="175">
          <cell r="A175" t="str">
            <v>PY</v>
          </cell>
          <cell r="B175" t="str">
            <v>Paraguay</v>
          </cell>
        </row>
        <row r="176">
          <cell r="A176" t="str">
            <v>PE</v>
          </cell>
          <cell r="B176" t="str">
            <v>Peru</v>
          </cell>
        </row>
        <row r="177">
          <cell r="A177" t="str">
            <v>PH</v>
          </cell>
          <cell r="B177" t="str">
            <v>Philippines</v>
          </cell>
        </row>
        <row r="178">
          <cell r="A178" t="str">
            <v>PN</v>
          </cell>
          <cell r="B178" t="str">
            <v>Pitcairn Islands</v>
          </cell>
        </row>
        <row r="179">
          <cell r="A179" t="str">
            <v>PL</v>
          </cell>
          <cell r="B179" t="str">
            <v>Poland</v>
          </cell>
        </row>
        <row r="180">
          <cell r="A180" t="str">
            <v>PT</v>
          </cell>
          <cell r="B180" t="str">
            <v>Portugal</v>
          </cell>
        </row>
        <row r="181">
          <cell r="A181" t="str">
            <v>PR</v>
          </cell>
          <cell r="B181" t="str">
            <v>Puerto Rico</v>
          </cell>
        </row>
        <row r="182">
          <cell r="A182" t="str">
            <v>QA</v>
          </cell>
          <cell r="B182" t="str">
            <v>Qatar</v>
          </cell>
        </row>
        <row r="183">
          <cell r="A183" t="str">
            <v>RO</v>
          </cell>
          <cell r="B183" t="str">
            <v>Romania</v>
          </cell>
        </row>
        <row r="184">
          <cell r="A184" t="str">
            <v>RU</v>
          </cell>
          <cell r="B184" t="str">
            <v>Russia</v>
          </cell>
        </row>
        <row r="185">
          <cell r="A185" t="str">
            <v>RW</v>
          </cell>
          <cell r="B185" t="str">
            <v>Rwanda</v>
          </cell>
        </row>
        <row r="186">
          <cell r="A186" t="str">
            <v>RE</v>
          </cell>
          <cell r="B186" t="str">
            <v>Reunion</v>
          </cell>
        </row>
        <row r="187">
          <cell r="A187" t="str">
            <v>BL</v>
          </cell>
          <cell r="B187" t="str">
            <v>Saint Barthelemy</v>
          </cell>
        </row>
        <row r="188">
          <cell r="A188" t="str">
            <v>SH</v>
          </cell>
          <cell r="B188" t="str">
            <v>Saint Helena</v>
          </cell>
        </row>
        <row r="189">
          <cell r="A189" t="str">
            <v>KN</v>
          </cell>
          <cell r="B189" t="str">
            <v>Saint Kitts and Nevis</v>
          </cell>
        </row>
        <row r="190">
          <cell r="A190" t="str">
            <v>LC</v>
          </cell>
          <cell r="B190" t="str">
            <v>Saint Lucia</v>
          </cell>
        </row>
        <row r="191">
          <cell r="A191" t="str">
            <v>MF</v>
          </cell>
          <cell r="B191" t="str">
            <v>Saint Martin</v>
          </cell>
        </row>
        <row r="192">
          <cell r="A192" t="str">
            <v>PM</v>
          </cell>
          <cell r="B192" t="str">
            <v>Saint Pierre and Miquelon</v>
          </cell>
        </row>
        <row r="193">
          <cell r="A193" t="str">
            <v>VC</v>
          </cell>
          <cell r="B193" t="str">
            <v>Saint Vincent and the Grenadines</v>
          </cell>
        </row>
        <row r="194">
          <cell r="A194" t="str">
            <v>WS</v>
          </cell>
          <cell r="B194" t="str">
            <v>Samoa</v>
          </cell>
        </row>
        <row r="195">
          <cell r="A195" t="str">
            <v>SM</v>
          </cell>
          <cell r="B195" t="str">
            <v>San Marino</v>
          </cell>
        </row>
        <row r="196">
          <cell r="A196" t="str">
            <v>ST</v>
          </cell>
          <cell r="B196" t="str">
            <v>Sao Tome and Principe</v>
          </cell>
        </row>
        <row r="197">
          <cell r="A197" t="str">
            <v>SA</v>
          </cell>
          <cell r="B197" t="str">
            <v>Saudi Arabia</v>
          </cell>
        </row>
        <row r="198">
          <cell r="A198" t="str">
            <v>SN</v>
          </cell>
          <cell r="B198" t="str">
            <v>Senegal</v>
          </cell>
        </row>
        <row r="199">
          <cell r="A199" t="str">
            <v>RS</v>
          </cell>
          <cell r="B199" t="str">
            <v>Serbia</v>
          </cell>
        </row>
        <row r="200">
          <cell r="A200" t="str">
            <v>SC</v>
          </cell>
          <cell r="B200" t="str">
            <v>Seychelles</v>
          </cell>
        </row>
        <row r="201">
          <cell r="A201" t="str">
            <v>SL</v>
          </cell>
          <cell r="B201" t="str">
            <v>Sierra Leone</v>
          </cell>
        </row>
        <row r="202">
          <cell r="A202" t="str">
            <v>SG</v>
          </cell>
          <cell r="B202" t="str">
            <v>Singapore</v>
          </cell>
        </row>
        <row r="203">
          <cell r="A203" t="str">
            <v>SX</v>
          </cell>
          <cell r="B203" t="str">
            <v>Sint Maarten (Dutch part)</v>
          </cell>
        </row>
        <row r="204">
          <cell r="A204" t="str">
            <v>SK</v>
          </cell>
          <cell r="B204" t="str">
            <v>Slovakia</v>
          </cell>
        </row>
        <row r="205">
          <cell r="A205" t="str">
            <v>SI</v>
          </cell>
          <cell r="B205" t="str">
            <v>Slovenia</v>
          </cell>
        </row>
        <row r="206">
          <cell r="A206" t="str">
            <v>SB</v>
          </cell>
          <cell r="B206" t="str">
            <v>Solomon Islands</v>
          </cell>
        </row>
        <row r="207">
          <cell r="A207" t="str">
            <v>SO</v>
          </cell>
          <cell r="B207" t="str">
            <v>Somalia</v>
          </cell>
        </row>
        <row r="208">
          <cell r="A208" t="str">
            <v>ZA</v>
          </cell>
          <cell r="B208" t="str">
            <v>South Africa</v>
          </cell>
        </row>
        <row r="209">
          <cell r="A209" t="str">
            <v>GS</v>
          </cell>
          <cell r="B209" t="str">
            <v>South Georgia and the South Sandwich Islands</v>
          </cell>
        </row>
        <row r="210">
          <cell r="A210" t="str">
            <v>SS</v>
          </cell>
          <cell r="B210" t="str">
            <v>South Sudan</v>
          </cell>
        </row>
        <row r="211">
          <cell r="A211" t="str">
            <v>ES</v>
          </cell>
          <cell r="B211" t="str">
            <v>Spain</v>
          </cell>
        </row>
        <row r="212">
          <cell r="A212" t="str">
            <v>LK</v>
          </cell>
          <cell r="B212" t="str">
            <v>Sri Lanka</v>
          </cell>
        </row>
        <row r="213">
          <cell r="A213" t="str">
            <v>SNAT</v>
          </cell>
          <cell r="B213" t="str">
            <v>Supra National</v>
          </cell>
        </row>
        <row r="214">
          <cell r="A214" t="str">
            <v>SD</v>
          </cell>
          <cell r="B214" t="str">
            <v>Sudan</v>
          </cell>
        </row>
        <row r="215">
          <cell r="A215" t="str">
            <v>SR</v>
          </cell>
          <cell r="B215" t="str">
            <v>Suriname</v>
          </cell>
        </row>
        <row r="216">
          <cell r="A216" t="str">
            <v>SJ</v>
          </cell>
          <cell r="B216" t="str">
            <v>Svalbard and Jan Mayen</v>
          </cell>
        </row>
        <row r="217">
          <cell r="A217" t="str">
            <v>SE</v>
          </cell>
          <cell r="B217" t="str">
            <v>Sweden</v>
          </cell>
        </row>
        <row r="218">
          <cell r="A218" t="str">
            <v>CH</v>
          </cell>
          <cell r="B218" t="str">
            <v>Switzerland</v>
          </cell>
        </row>
        <row r="219">
          <cell r="A219" t="str">
            <v>SY</v>
          </cell>
          <cell r="B219" t="str">
            <v>Syrian Arab Republic</v>
          </cell>
        </row>
        <row r="220">
          <cell r="A220" t="str">
            <v>TW</v>
          </cell>
          <cell r="B220" t="str">
            <v>Taiwan</v>
          </cell>
        </row>
        <row r="221">
          <cell r="A221" t="str">
            <v>TJ</v>
          </cell>
          <cell r="B221" t="str">
            <v>Tajikistan</v>
          </cell>
        </row>
        <row r="222">
          <cell r="A222" t="str">
            <v>TZ</v>
          </cell>
          <cell r="B222" t="str">
            <v>Tanzania, United Republic of</v>
          </cell>
        </row>
        <row r="223">
          <cell r="A223" t="str">
            <v>TH</v>
          </cell>
          <cell r="B223" t="str">
            <v>Thailand</v>
          </cell>
        </row>
        <row r="224">
          <cell r="A224" t="str">
            <v>TL</v>
          </cell>
          <cell r="B224" t="str">
            <v>Timor-Leste</v>
          </cell>
        </row>
        <row r="225">
          <cell r="A225" t="str">
            <v>TG</v>
          </cell>
          <cell r="B225" t="str">
            <v>Togo</v>
          </cell>
        </row>
        <row r="226">
          <cell r="A226" t="str">
            <v>TK</v>
          </cell>
          <cell r="B226" t="str">
            <v>Tokelau</v>
          </cell>
        </row>
        <row r="227">
          <cell r="A227" t="str">
            <v>TO</v>
          </cell>
          <cell r="B227" t="str">
            <v>Tonga</v>
          </cell>
        </row>
        <row r="228">
          <cell r="A228" t="str">
            <v>TT</v>
          </cell>
          <cell r="B228" t="str">
            <v>Trinidad and Tobago</v>
          </cell>
        </row>
        <row r="229">
          <cell r="A229" t="str">
            <v>TN</v>
          </cell>
          <cell r="B229" t="str">
            <v>Tunisia</v>
          </cell>
        </row>
        <row r="230">
          <cell r="A230" t="str">
            <v>TR</v>
          </cell>
          <cell r="B230" t="str">
            <v>Turkey</v>
          </cell>
        </row>
        <row r="231">
          <cell r="A231" t="str">
            <v>TM</v>
          </cell>
          <cell r="B231" t="str">
            <v>Turkmenistan</v>
          </cell>
        </row>
        <row r="232">
          <cell r="A232" t="str">
            <v>TC</v>
          </cell>
          <cell r="B232" t="str">
            <v>Turks and Caicos Islands</v>
          </cell>
        </row>
        <row r="233">
          <cell r="A233" t="str">
            <v>TV</v>
          </cell>
          <cell r="B233" t="str">
            <v>Tuvalu</v>
          </cell>
        </row>
        <row r="234">
          <cell r="A234" t="str">
            <v>UG</v>
          </cell>
          <cell r="B234" t="str">
            <v>Uganda</v>
          </cell>
        </row>
        <row r="235">
          <cell r="A235" t="str">
            <v>UA</v>
          </cell>
          <cell r="B235" t="str">
            <v>Ukraine</v>
          </cell>
        </row>
        <row r="236">
          <cell r="A236" t="str">
            <v>AE</v>
          </cell>
          <cell r="B236" t="str">
            <v>UAE</v>
          </cell>
        </row>
        <row r="237">
          <cell r="A237" t="str">
            <v>GB</v>
          </cell>
          <cell r="B237" t="str">
            <v>United Kingdom</v>
          </cell>
        </row>
        <row r="238">
          <cell r="A238" t="str">
            <v>UM</v>
          </cell>
          <cell r="B238" t="str">
            <v>United States Minor Outlying Islands</v>
          </cell>
        </row>
        <row r="239">
          <cell r="A239" t="str">
            <v>US</v>
          </cell>
          <cell r="B239" t="str">
            <v>United States</v>
          </cell>
        </row>
        <row r="240">
          <cell r="A240" t="str">
            <v>UY</v>
          </cell>
          <cell r="B240" t="str">
            <v>Uruguay</v>
          </cell>
        </row>
        <row r="241">
          <cell r="A241" t="str">
            <v>UZ</v>
          </cell>
          <cell r="B241" t="str">
            <v>Uzbekistan</v>
          </cell>
        </row>
        <row r="242">
          <cell r="A242" t="str">
            <v>VU</v>
          </cell>
          <cell r="B242" t="str">
            <v>Vanuatu</v>
          </cell>
        </row>
        <row r="243">
          <cell r="A243" t="str">
            <v>VE</v>
          </cell>
          <cell r="B243" t="str">
            <v>Venezuela</v>
          </cell>
        </row>
        <row r="244">
          <cell r="A244" t="str">
            <v>VN</v>
          </cell>
          <cell r="B244" t="str">
            <v>Vietnam</v>
          </cell>
        </row>
        <row r="245">
          <cell r="A245" t="str">
            <v>VG</v>
          </cell>
          <cell r="B245" t="str">
            <v>BVI</v>
          </cell>
        </row>
        <row r="246">
          <cell r="A246" t="str">
            <v>VI</v>
          </cell>
          <cell r="B246" t="str">
            <v>Virgin Islands, U.S.</v>
          </cell>
        </row>
        <row r="247">
          <cell r="A247" t="str">
            <v>WF</v>
          </cell>
          <cell r="B247" t="str">
            <v>Wallis and Futuna</v>
          </cell>
        </row>
        <row r="248">
          <cell r="A248" t="str">
            <v>EH</v>
          </cell>
          <cell r="B248" t="str">
            <v>Western Sahara</v>
          </cell>
        </row>
        <row r="249">
          <cell r="A249" t="str">
            <v>YE</v>
          </cell>
          <cell r="B249" t="str">
            <v>Yemen</v>
          </cell>
        </row>
        <row r="250">
          <cell r="A250" t="str">
            <v>ZM</v>
          </cell>
          <cell r="B250" t="str">
            <v>Zambia</v>
          </cell>
        </row>
        <row r="251">
          <cell r="A251" t="str">
            <v>ZW</v>
          </cell>
          <cell r="B251" t="str">
            <v>Zimbabwe</v>
          </cell>
        </row>
        <row r="252">
          <cell r="A252" t="str">
            <v>EM</v>
          </cell>
          <cell r="B252" t="str">
            <v>Emerging Markets</v>
          </cell>
        </row>
        <row r="253">
          <cell r="A253" t="str">
            <v>Other</v>
          </cell>
          <cell r="B253" t="str">
            <v>Other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efeuille 4392540"/>
      <sheetName val="Portefeuille 4392470"/>
      <sheetName val="Portefeuille 4392350"/>
      <sheetName val="Portefeuille 4392010"/>
      <sheetName val="Portefeuille 4391370"/>
      <sheetName val="Portefeuille 4390150"/>
      <sheetName val="Portefeuille 4390140"/>
      <sheetName val="Portefeuille 4389270"/>
      <sheetName val="Portefeuille 4389140"/>
      <sheetName val="Portefeuille 4389070"/>
      <sheetName val="Portefeuille 4388200"/>
      <sheetName val="Portefeuille 4387590"/>
      <sheetName val="Portefeuille 4387170"/>
      <sheetName val="Portefeuille 4386910"/>
      <sheetName val="Portefeuille 4386710"/>
      <sheetName val="Portefeuille 4385510"/>
      <sheetName val="Portefeuille 4385150"/>
      <sheetName val="Portefeuille 4384380"/>
      <sheetName val="Portefeuille 4384180"/>
      <sheetName val="Portefeuille 4383660"/>
      <sheetName val="Portefeuille 4383040"/>
      <sheetName val="Portefeuille 4382910"/>
      <sheetName val="Portefeuille 4382430"/>
      <sheetName val="Portefeuille 4381780"/>
      <sheetName val="Portefeuille 4381720"/>
      <sheetName val="Portefeuille 4380430"/>
      <sheetName val="Portefeuille 4380370"/>
      <sheetName val="Portefeuille 4379150"/>
      <sheetName val="Portefeuille 4379030"/>
      <sheetName val="Portefeuille 4378920"/>
      <sheetName val="Portefeuille 4377960"/>
      <sheetName val="Portefeuille 4377450"/>
      <sheetName val="Portefeuille 4377110"/>
      <sheetName val="Portefeuille 4375950"/>
      <sheetName val="Portefeuille 4375780"/>
      <sheetName val="Portefeuille 4375080"/>
      <sheetName val="Portefeuille 4374880"/>
      <sheetName val="Portefeuille 4374650"/>
      <sheetName val="Portefeuille 4374170"/>
      <sheetName val="Portefeuille 4373600"/>
      <sheetName val="Portefeuille 4373410"/>
      <sheetName val="Portefeuille 4372660"/>
      <sheetName val="Portefeuille 4372600"/>
      <sheetName val="Portefeuille 4371510"/>
      <sheetName val="Portefeuille 4370970"/>
      <sheetName val="Portefeuille 4370290"/>
      <sheetName val="Portefeuille 473370"/>
      <sheetName val="Portefeuille 174280"/>
      <sheetName val="Portefeuille 173650"/>
      <sheetName val="Portefeuille 173240"/>
      <sheetName val="Portefeuille 173100"/>
      <sheetName val="Portefeuille 1729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3">
          <cell r="B3" t="str">
            <v>Asset Code</v>
          </cell>
          <cell r="C3" t="str">
            <v>Asset Name</v>
          </cell>
          <cell r="D3" t="str">
            <v>Asset Class Code (Level 3) name</v>
          </cell>
          <cell r="E3" t="str">
            <v>Asset unit price</v>
          </cell>
          <cell r="F3" t="str">
            <v>Market Value</v>
          </cell>
          <cell r="G3" t="str">
            <v>LTV</v>
          </cell>
        </row>
        <row r="4">
          <cell r="B4" t="str">
            <v>US9220426764</v>
          </cell>
          <cell r="C4" t="str">
            <v>VNGD GLB EX-US RE</v>
          </cell>
          <cell r="D4" t="str">
            <v>ETF &amp; Tracker</v>
          </cell>
          <cell r="E4"/>
          <cell r="F4">
            <v>50544.00190254012</v>
          </cell>
          <cell r="G4">
            <v>0.7</v>
          </cell>
        </row>
        <row r="5">
          <cell r="B5" t="str">
            <v>GB0007980591</v>
          </cell>
          <cell r="C5" t="str">
            <v>BP</v>
          </cell>
          <cell r="D5" t="str">
            <v>Ordinary Share</v>
          </cell>
          <cell r="E5"/>
          <cell r="F5">
            <v>44989.875768660189</v>
          </cell>
          <cell r="G5">
            <v>0.7974</v>
          </cell>
        </row>
        <row r="6">
          <cell r="B6" t="str">
            <v>US251526CT41</v>
          </cell>
          <cell r="C6" t="str">
            <v>DEUTSCHE 34 FTFN</v>
          </cell>
          <cell r="D6" t="str">
            <v>Bond</v>
          </cell>
          <cell r="E6"/>
          <cell r="F6">
            <v>209530.00464310386</v>
          </cell>
          <cell r="G6">
            <v>0.7671</v>
          </cell>
        </row>
        <row r="7">
          <cell r="B7" t="str">
            <v>XS1575968026</v>
          </cell>
          <cell r="C7" t="str">
            <v>OMAN 6.5% 3/47</v>
          </cell>
          <cell r="D7" t="str">
            <v>Bond</v>
          </cell>
          <cell r="E7"/>
          <cell r="F7">
            <v>305715.00402024848</v>
          </cell>
          <cell r="G7">
            <v>0.55389999999999995</v>
          </cell>
        </row>
        <row r="8">
          <cell r="B8" t="str">
            <v>CH1138770628</v>
          </cell>
          <cell r="C8" t="str">
            <v>EXT - USD EXTERNAL P.P 03112099 - CH1138770628</v>
          </cell>
          <cell r="D8" t="str">
            <v>Structured Product</v>
          </cell>
          <cell r="E8"/>
          <cell r="F8">
            <v>1330010.0336341914</v>
          </cell>
          <cell r="G8"/>
        </row>
        <row r="9">
          <cell r="B9" t="str">
            <v>CH0244767585</v>
          </cell>
          <cell r="C9" t="str">
            <v>UBS GROUP</v>
          </cell>
          <cell r="D9" t="str">
            <v>Ordinary Share</v>
          </cell>
          <cell r="E9"/>
          <cell r="F9">
            <v>44519.438750665322</v>
          </cell>
          <cell r="G9">
            <v>0.7974</v>
          </cell>
        </row>
        <row r="10">
          <cell r="B10" t="str">
            <v>USY775M1CJ07</v>
          </cell>
          <cell r="C10" t="str">
            <v>6.15 SHF 28 NTS -S</v>
          </cell>
          <cell r="D10" t="str">
            <v>Bond</v>
          </cell>
          <cell r="E10"/>
          <cell r="F10">
            <v>196369.9987542892</v>
          </cell>
          <cell r="G10">
            <v>0.82530000000000003</v>
          </cell>
        </row>
        <row r="11">
          <cell r="B11" t="str">
            <v>CASHWITHINSG</v>
          </cell>
          <cell r="C11" t="str">
            <v>CASHWITHINSG</v>
          </cell>
          <cell r="D11" t="str">
            <v>Deposit</v>
          </cell>
          <cell r="E11">
            <v>271.45</v>
          </cell>
          <cell r="F11">
            <v>307.40744935053169</v>
          </cell>
          <cell r="G11">
            <v>1</v>
          </cell>
        </row>
        <row r="12">
          <cell r="B12" t="str">
            <v>GB00B24CGK77</v>
          </cell>
          <cell r="C12" t="str">
            <v>RECKITT BEN GRP</v>
          </cell>
          <cell r="D12" t="str">
            <v>Ordinary Share</v>
          </cell>
          <cell r="E12"/>
          <cell r="F12">
            <v>52388.423949356198</v>
          </cell>
          <cell r="G12">
            <v>0.7974</v>
          </cell>
        </row>
        <row r="13">
          <cell r="B13" t="str">
            <v>US4642874329</v>
          </cell>
          <cell r="C13" t="str">
            <v>ISH 20+Y TRS BD</v>
          </cell>
          <cell r="D13" t="str">
            <v>ETF &amp; Tracker</v>
          </cell>
          <cell r="E13"/>
          <cell r="F13">
            <v>237175.49800120041</v>
          </cell>
          <cell r="G13">
            <v>0.99</v>
          </cell>
        </row>
        <row r="14">
          <cell r="B14" t="str">
            <v>FR001400BBL2</v>
          </cell>
          <cell r="C14" t="str">
            <v>BNPP FTFN</v>
          </cell>
          <cell r="D14" t="str">
            <v>Bond</v>
          </cell>
          <cell r="E14"/>
          <cell r="F14">
            <v>222511.39825373996</v>
          </cell>
          <cell r="G14">
            <v>0.55559999999999998</v>
          </cell>
        </row>
        <row r="15">
          <cell r="B15" t="str">
            <v>XS2608638602</v>
          </cell>
          <cell r="C15" t="str">
            <v>5.684 SEC53CTSSUK-S</v>
          </cell>
          <cell r="D15" t="str">
            <v>Other security</v>
          </cell>
          <cell r="E15"/>
          <cell r="F15">
            <v>295365.00458648067</v>
          </cell>
          <cell r="G15">
            <v>0.48</v>
          </cell>
        </row>
        <row r="16">
          <cell r="B16" t="str">
            <v>XS2907245208</v>
          </cell>
          <cell r="C16" t="str">
            <v>5.25 ADO 54 NTS -S</v>
          </cell>
          <cell r="D16" t="str">
            <v>Bond</v>
          </cell>
          <cell r="E16"/>
          <cell r="F16">
            <v>284145.00073610182</v>
          </cell>
          <cell r="G16">
            <v>0.67610000000000003</v>
          </cell>
        </row>
        <row r="17">
          <cell r="B17" t="str">
            <v>CASHWITHINSG</v>
          </cell>
          <cell r="C17" t="str">
            <v>CASHWITHINSG</v>
          </cell>
          <cell r="D17" t="str">
            <v>Deposit</v>
          </cell>
          <cell r="E17">
            <v>569.44000000000005</v>
          </cell>
          <cell r="F17">
            <v>601.02148284882742</v>
          </cell>
          <cell r="G17">
            <v>1</v>
          </cell>
        </row>
        <row r="18">
          <cell r="B18" t="str">
            <v>CASHWITHINSG</v>
          </cell>
          <cell r="C18" t="str">
            <v>CASHWITHINSG</v>
          </cell>
          <cell r="D18" t="str">
            <v>Deposit</v>
          </cell>
          <cell r="E18">
            <v>7556.25</v>
          </cell>
          <cell r="F18">
            <v>7556.2551668686228</v>
          </cell>
          <cell r="G18">
            <v>1</v>
          </cell>
        </row>
        <row r="19">
          <cell r="B19" t="str">
            <v>US6092071058</v>
          </cell>
          <cell r="C19" t="str">
            <v>MONDELEZ INTL</v>
          </cell>
          <cell r="D19" t="str">
            <v>Ordinary Share</v>
          </cell>
          <cell r="E19"/>
          <cell r="F19">
            <v>49445.602074674694</v>
          </cell>
          <cell r="G19">
            <v>0.7974</v>
          </cell>
        </row>
        <row r="20">
          <cell r="B20" t="str">
            <v>XS2821647364</v>
          </cell>
          <cell r="C20" t="str">
            <v>7.375 MANA 28EMTN-S</v>
          </cell>
          <cell r="D20" t="str">
            <v>Bond</v>
          </cell>
          <cell r="E20"/>
          <cell r="F20">
            <v>199210.00419011811</v>
          </cell>
          <cell r="G20">
            <v>0.82240000000000002</v>
          </cell>
        </row>
        <row r="21">
          <cell r="B21" t="str">
            <v>XS2577136109</v>
          </cell>
          <cell r="C21" t="str">
            <v>5 SAU 53 28 MTN -S</v>
          </cell>
          <cell r="D21" t="str">
            <v>Bond</v>
          </cell>
          <cell r="E21"/>
          <cell r="F21">
            <v>240408.00425806601</v>
          </cell>
          <cell r="G21">
            <v>0.68869999999999998</v>
          </cell>
        </row>
        <row r="22">
          <cell r="B22" t="str">
            <v>XS2131567138</v>
          </cell>
          <cell r="C22" t="str">
            <v>ABN REG S FTVN</v>
          </cell>
          <cell r="D22" t="str">
            <v>Bond</v>
          </cell>
          <cell r="E22"/>
          <cell r="F22">
            <v>315006.35312503541</v>
          </cell>
          <cell r="G22">
            <v>0.51790000000000003</v>
          </cell>
        </row>
        <row r="23">
          <cell r="B23" t="str">
            <v>CASHWITHINSG</v>
          </cell>
          <cell r="C23" t="str">
            <v>CASHWITHINSG</v>
          </cell>
          <cell r="D23" t="str">
            <v>Deposit</v>
          </cell>
          <cell r="E23">
            <v>1086.25</v>
          </cell>
          <cell r="F23">
            <v>1378.1298483630228</v>
          </cell>
          <cell r="G23">
            <v>1</v>
          </cell>
        </row>
        <row r="24">
          <cell r="B24" t="str">
            <v>CASHWITHINSG</v>
          </cell>
          <cell r="C24" t="str">
            <v>CASHWITHINSG</v>
          </cell>
          <cell r="D24" t="str">
            <v>Deposit</v>
          </cell>
          <cell r="E24">
            <v>773.1</v>
          </cell>
          <cell r="F24">
            <v>575.99402058820203</v>
          </cell>
          <cell r="G24">
            <v>1</v>
          </cell>
        </row>
        <row r="25">
          <cell r="B25" t="str">
            <v>GB0009895292</v>
          </cell>
          <cell r="C25" t="str">
            <v>ASTRAZENECA</v>
          </cell>
          <cell r="D25" t="str">
            <v>Ordinary Share</v>
          </cell>
          <cell r="E25"/>
          <cell r="F25">
            <v>52821.580240761927</v>
          </cell>
          <cell r="G25">
            <v>0.7974</v>
          </cell>
        </row>
        <row r="26">
          <cell r="B26" t="str">
            <v>CH0038863350</v>
          </cell>
          <cell r="C26" t="str">
            <v>NESTLE</v>
          </cell>
          <cell r="D26" t="str">
            <v>Ordinary Share</v>
          </cell>
          <cell r="E26"/>
          <cell r="F26">
            <v>41226.232404335075</v>
          </cell>
          <cell r="G26">
            <v>0.7974</v>
          </cell>
        </row>
        <row r="27">
          <cell r="B27" t="str">
            <v>US98956P1021</v>
          </cell>
          <cell r="C27" t="str">
            <v>ZIMMER BIOMET</v>
          </cell>
          <cell r="D27" t="str">
            <v>Ordinary Share</v>
          </cell>
          <cell r="E27"/>
          <cell r="F27">
            <v>101938.20142011032</v>
          </cell>
          <cell r="G27">
            <v>0.7974</v>
          </cell>
        </row>
        <row r="28">
          <cell r="B28" t="str">
            <v>IE00B6YX5L24</v>
          </cell>
          <cell r="C28" t="str">
            <v>SSGA BAR 15+YR GBP</v>
          </cell>
          <cell r="D28" t="str">
            <v>ETF &amp; Tracker</v>
          </cell>
          <cell r="E28"/>
          <cell r="F28">
            <v>143282.9575439113</v>
          </cell>
          <cell r="G28">
            <v>0.85</v>
          </cell>
        </row>
        <row r="29">
          <cell r="B29" t="str">
            <v>US4581401001</v>
          </cell>
          <cell r="C29" t="str">
            <v>INTEL</v>
          </cell>
          <cell r="D29" t="str">
            <v>Ordinary Share</v>
          </cell>
          <cell r="E29"/>
          <cell r="F29">
            <v>118250.00283116089</v>
          </cell>
          <cell r="G29">
            <v>0.7974</v>
          </cell>
        </row>
        <row r="30">
          <cell r="B30" t="str">
            <v>XS2451768720</v>
          </cell>
          <cell r="C30" t="str">
            <v>QIC CAYMAN -S FTVN</v>
          </cell>
          <cell r="D30" t="str">
            <v>Bond</v>
          </cell>
          <cell r="E30"/>
          <cell r="F30">
            <v>202789.99580988189</v>
          </cell>
          <cell r="G30">
            <v>0.55559999999999998</v>
          </cell>
        </row>
        <row r="31">
          <cell r="B31" t="str">
            <v>XS2586873379</v>
          </cell>
          <cell r="C31" t="str">
            <v>JULIUS BAER -S FTVB</v>
          </cell>
          <cell r="D31" t="str">
            <v>Bond</v>
          </cell>
          <cell r="E31"/>
          <cell r="F31">
            <v>214996.54598371516</v>
          </cell>
          <cell r="G31">
            <v>0.51790000000000003</v>
          </cell>
        </row>
        <row r="32">
          <cell r="B32" t="str">
            <v>FR001400F2H9</v>
          </cell>
          <cell r="C32" t="str">
            <v>BNPP CCVFRB-S</v>
          </cell>
          <cell r="D32" t="str">
            <v>Other security</v>
          </cell>
          <cell r="E32"/>
          <cell r="F32">
            <v>455070.74504829961</v>
          </cell>
          <cell r="G32">
            <v>0.70109999999999995</v>
          </cell>
        </row>
        <row r="33">
          <cell r="B33" t="str">
            <v>IE00BKX55Q28</v>
          </cell>
          <cell r="C33" t="str">
            <v>VAN FTSE 250 GBP</v>
          </cell>
          <cell r="D33" t="str">
            <v>ETF &amp; Tracker</v>
          </cell>
          <cell r="E33"/>
          <cell r="F33">
            <v>49499.088366193675</v>
          </cell>
          <cell r="G33">
            <v>0.7</v>
          </cell>
        </row>
        <row r="34">
          <cell r="B34" t="str">
            <v>US09061G1013</v>
          </cell>
          <cell r="C34" t="str">
            <v>BIOMARIN PHARM</v>
          </cell>
          <cell r="D34" t="str">
            <v>Ordinary Share</v>
          </cell>
          <cell r="E34"/>
          <cell r="F34">
            <v>93223.503165237868</v>
          </cell>
          <cell r="G34">
            <v>0.7974</v>
          </cell>
        </row>
        <row r="35">
          <cell r="B35" t="str">
            <v>IE00B6S2Z822</v>
          </cell>
          <cell r="C35" t="str">
            <v>SPDR S&amp;P UK DIV GBP</v>
          </cell>
          <cell r="D35" t="str">
            <v>ETF &amp; Tracker</v>
          </cell>
          <cell r="E35"/>
          <cell r="F35">
            <v>52603.592176936232</v>
          </cell>
          <cell r="G35">
            <v>0.75</v>
          </cell>
        </row>
        <row r="36">
          <cell r="B36" t="str">
            <v>XS2775892065</v>
          </cell>
          <cell r="C36" t="str">
            <v>6.125 GTEMS 36MTN-S</v>
          </cell>
          <cell r="D36" t="str">
            <v>Bond</v>
          </cell>
          <cell r="E36"/>
          <cell r="F36">
            <v>199389.9980748106</v>
          </cell>
          <cell r="G36">
            <v>0.73609999999999998</v>
          </cell>
        </row>
        <row r="37">
          <cell r="B37" t="str">
            <v>FR001400F067</v>
          </cell>
          <cell r="C37" t="str">
            <v>AGRI FTFN</v>
          </cell>
          <cell r="D37" t="str">
            <v>Bond</v>
          </cell>
          <cell r="E37"/>
          <cell r="F37">
            <v>334020.40700768941</v>
          </cell>
          <cell r="G37">
            <v>0.55559999999999998</v>
          </cell>
        </row>
        <row r="38">
          <cell r="B38" t="str">
            <v>XS2542166744</v>
          </cell>
          <cell r="C38" t="str">
            <v>6.51 GSPB 42 MTN -S</v>
          </cell>
          <cell r="D38" t="str">
            <v>Other security</v>
          </cell>
          <cell r="E38"/>
          <cell r="F38">
            <v>311775.00198181265</v>
          </cell>
          <cell r="G38">
            <v>0.56000000000000005</v>
          </cell>
        </row>
      </sheetData>
      <sheetData sheetId="26"/>
      <sheetData sheetId="27">
        <row r="3">
          <cell r="B3" t="str">
            <v>Asset Code</v>
          </cell>
          <cell r="C3" t="str">
            <v>Asset Name</v>
          </cell>
          <cell r="D3" t="str">
            <v>Asset Class Code (Level 3) name</v>
          </cell>
          <cell r="E3" t="str">
            <v>Asset unit price</v>
          </cell>
          <cell r="F3" t="str">
            <v>Market Value</v>
          </cell>
          <cell r="G3" t="str">
            <v>LTV</v>
          </cell>
        </row>
        <row r="4">
          <cell r="B4" t="str">
            <v>US7960508882</v>
          </cell>
          <cell r="C4" t="str">
            <v>SAMSUNG ELECTRONICS GDR</v>
          </cell>
          <cell r="D4" t="str">
            <v>Ordinary Share</v>
          </cell>
          <cell r="E4"/>
          <cell r="F4">
            <v>10911.996194919766</v>
          </cell>
          <cell r="G4">
            <v>0.79449999999999998</v>
          </cell>
        </row>
        <row r="5">
          <cell r="B5" t="str">
            <v>US01609W1027</v>
          </cell>
          <cell r="C5" t="str">
            <v>ALIBABA GRP ADR</v>
          </cell>
          <cell r="D5" t="str">
            <v>Ordinary Share</v>
          </cell>
          <cell r="E5"/>
          <cell r="F5">
            <v>3463.5969332865247</v>
          </cell>
          <cell r="G5">
            <v>0.66600000000000004</v>
          </cell>
        </row>
        <row r="6">
          <cell r="B6" t="str">
            <v>GB0009895292</v>
          </cell>
          <cell r="C6" t="str">
            <v>ASTRAZENECA</v>
          </cell>
          <cell r="D6" t="str">
            <v>Ordinary Share</v>
          </cell>
          <cell r="E6"/>
          <cell r="F6">
            <v>52821.580240761927</v>
          </cell>
          <cell r="G6">
            <v>0.79449999999999998</v>
          </cell>
        </row>
        <row r="7">
          <cell r="B7" t="str">
            <v>CH0038863350</v>
          </cell>
          <cell r="C7" t="str">
            <v>NESTLE</v>
          </cell>
          <cell r="D7" t="str">
            <v>Ordinary Share</v>
          </cell>
          <cell r="E7"/>
          <cell r="F7">
            <v>42094.153086531602</v>
          </cell>
          <cell r="G7">
            <v>0.79449999999999998</v>
          </cell>
        </row>
        <row r="8">
          <cell r="B8" t="str">
            <v>XS1575968026</v>
          </cell>
          <cell r="C8" t="str">
            <v>OMAN 6.5% 3/47</v>
          </cell>
          <cell r="D8" t="str">
            <v>Bond</v>
          </cell>
          <cell r="E8"/>
          <cell r="F8">
            <v>203809.99513040326</v>
          </cell>
          <cell r="G8">
            <v>0.55169999999999997</v>
          </cell>
        </row>
        <row r="9">
          <cell r="B9" t="str">
            <v>XS2630917107</v>
          </cell>
          <cell r="C9" t="str">
            <v>NAT 34 VRB</v>
          </cell>
          <cell r="D9" t="str">
            <v>Bond</v>
          </cell>
          <cell r="E9"/>
          <cell r="F9">
            <v>201240.00317090019</v>
          </cell>
          <cell r="G9">
            <v>0.75019999999999998</v>
          </cell>
        </row>
        <row r="10">
          <cell r="B10" t="str">
            <v>XS2401571448</v>
          </cell>
          <cell r="C10" t="str">
            <v>2.8 LUKOIL 27 BDS-S</v>
          </cell>
          <cell r="D10" t="str">
            <v>Bond</v>
          </cell>
          <cell r="E10"/>
          <cell r="F10">
            <v>217499.99433767822</v>
          </cell>
          <cell r="G10">
            <v>0</v>
          </cell>
        </row>
        <row r="11">
          <cell r="B11" t="str">
            <v>CASHWITHINSG</v>
          </cell>
          <cell r="C11" t="str">
            <v>CASHWITHINSG</v>
          </cell>
          <cell r="D11" t="str">
            <v>Deposit</v>
          </cell>
          <cell r="E11">
            <v>627.48</v>
          </cell>
          <cell r="F11">
            <v>662.27647984779674</v>
          </cell>
          <cell r="G11">
            <v>1</v>
          </cell>
        </row>
        <row r="12">
          <cell r="B12" t="str">
            <v>US6410694060</v>
          </cell>
          <cell r="C12" t="str">
            <v>NESTLE ADR</v>
          </cell>
          <cell r="D12" t="str">
            <v>Ordinary Share</v>
          </cell>
          <cell r="E12"/>
          <cell r="F12">
            <v>7254.238247851149</v>
          </cell>
          <cell r="G12">
            <v>0.79449999999999998</v>
          </cell>
        </row>
        <row r="13">
          <cell r="B13" t="str">
            <v>FR0000121485</v>
          </cell>
          <cell r="C13" t="str">
            <v>KERING</v>
          </cell>
          <cell r="D13" t="str">
            <v>Ordinary Share</v>
          </cell>
          <cell r="E13"/>
          <cell r="F13">
            <v>57997.350033407703</v>
          </cell>
          <cell r="G13">
            <v>0.79449999999999998</v>
          </cell>
        </row>
        <row r="14">
          <cell r="B14" t="str">
            <v>US98956P1021</v>
          </cell>
          <cell r="C14" t="str">
            <v>ZIMMER BIOMET</v>
          </cell>
          <cell r="D14" t="str">
            <v>Ordinary Share</v>
          </cell>
          <cell r="E14"/>
          <cell r="F14">
            <v>50409.000826698983</v>
          </cell>
          <cell r="G14">
            <v>0.79449999999999998</v>
          </cell>
        </row>
        <row r="15">
          <cell r="B15" t="str">
            <v>US7134481081</v>
          </cell>
          <cell r="C15" t="str">
            <v>PEPSICO</v>
          </cell>
          <cell r="D15" t="str">
            <v>Ordinary Share</v>
          </cell>
          <cell r="E15"/>
          <cell r="F15">
            <v>100398.24241531998</v>
          </cell>
          <cell r="G15">
            <v>0.79449999999999998</v>
          </cell>
        </row>
        <row r="16">
          <cell r="B16" t="str">
            <v>US00214Q4010</v>
          </cell>
          <cell r="C16" t="str">
            <v>ARK NEXT GEN INTRNT</v>
          </cell>
          <cell r="D16" t="str">
            <v>ETF &amp; Tracker</v>
          </cell>
          <cell r="E16"/>
          <cell r="F16">
            <v>104714.74355344665</v>
          </cell>
          <cell r="G16">
            <v>0.7</v>
          </cell>
        </row>
        <row r="17">
          <cell r="B17" t="str">
            <v>US62914V1061</v>
          </cell>
          <cell r="C17" t="str">
            <v>NIO SP ADS-A</v>
          </cell>
          <cell r="D17" t="str">
            <v>Ordinary Share</v>
          </cell>
          <cell r="E17"/>
          <cell r="F17">
            <v>28053.905303330575</v>
          </cell>
          <cell r="G17">
            <v>0.66600000000000004</v>
          </cell>
        </row>
        <row r="18">
          <cell r="B18" t="str">
            <v>XS2755904872</v>
          </cell>
          <cell r="C18" t="str">
            <v>5.375 GACI54EMTN -S</v>
          </cell>
          <cell r="D18" t="str">
            <v>Bond</v>
          </cell>
          <cell r="E18"/>
          <cell r="F18">
            <v>271274.99631949083</v>
          </cell>
          <cell r="G18">
            <v>0.5988</v>
          </cell>
        </row>
        <row r="19">
          <cell r="B19" t="str">
            <v>US6092071058</v>
          </cell>
          <cell r="C19" t="str">
            <v>MONDELEZ INTL</v>
          </cell>
          <cell r="D19" t="str">
            <v>Ordinary Share</v>
          </cell>
          <cell r="E19"/>
          <cell r="F19">
            <v>50486.563310419806</v>
          </cell>
          <cell r="G19">
            <v>0.79449999999999998</v>
          </cell>
        </row>
        <row r="20">
          <cell r="B20" t="str">
            <v>IE00B6YX5L24</v>
          </cell>
          <cell r="C20" t="str">
            <v>SSGA BAR 15+YR GBP</v>
          </cell>
          <cell r="D20" t="str">
            <v>ETF &amp; Tracker</v>
          </cell>
          <cell r="E20"/>
          <cell r="F20">
            <v>60736.328324066002</v>
          </cell>
          <cell r="G20">
            <v>0.85</v>
          </cell>
        </row>
        <row r="21">
          <cell r="B21" t="str">
            <v>GB0031743007</v>
          </cell>
          <cell r="C21" t="str">
            <v>BURBERRY GROUP</v>
          </cell>
          <cell r="D21" t="str">
            <v>Ordinary Share</v>
          </cell>
          <cell r="E21"/>
          <cell r="F21">
            <v>43013.4876504762</v>
          </cell>
          <cell r="G21">
            <v>0.74309999999999998</v>
          </cell>
        </row>
        <row r="22">
          <cell r="B22" t="str">
            <v>XS2586007036</v>
          </cell>
          <cell r="C22" t="str">
            <v>OTP 33 FTVN</v>
          </cell>
          <cell r="D22" t="str">
            <v>Bond</v>
          </cell>
          <cell r="E22"/>
          <cell r="F22">
            <v>105854.99926389816</v>
          </cell>
          <cell r="G22">
            <v>0.6915</v>
          </cell>
        </row>
        <row r="23">
          <cell r="B23" t="str">
            <v>DE0007664039</v>
          </cell>
          <cell r="C23" t="str">
            <v>VOLKSWAGEN ?486709</v>
          </cell>
          <cell r="D23" t="str">
            <v>Ordinary Share</v>
          </cell>
          <cell r="E23"/>
          <cell r="F23">
            <v>59563.650159111239</v>
          </cell>
          <cell r="G23">
            <v>0.79449999999999998</v>
          </cell>
        </row>
        <row r="24">
          <cell r="B24" t="str">
            <v>US09061G1013</v>
          </cell>
          <cell r="C24" t="str">
            <v>BIOMARIN PHARM</v>
          </cell>
          <cell r="D24" t="str">
            <v>Ordinary Share</v>
          </cell>
          <cell r="E24"/>
          <cell r="F24">
            <v>46448.195418049218</v>
          </cell>
          <cell r="G24">
            <v>0.79449999999999998</v>
          </cell>
        </row>
        <row r="25">
          <cell r="B25" t="str">
            <v>CA0679011084</v>
          </cell>
          <cell r="C25" t="str">
            <v>BARRICK GOLD</v>
          </cell>
          <cell r="D25" t="str">
            <v>Ordinary Share</v>
          </cell>
          <cell r="E25"/>
          <cell r="F25">
            <v>13142.362094153088</v>
          </cell>
          <cell r="G25">
            <v>0.79449999999999998</v>
          </cell>
        </row>
        <row r="26">
          <cell r="B26" t="str">
            <v>US6541061031</v>
          </cell>
          <cell r="C26" t="str">
            <v>NIKE</v>
          </cell>
          <cell r="D26" t="str">
            <v>Ordinary Share</v>
          </cell>
          <cell r="E26"/>
          <cell r="F26">
            <v>62672.004348663133</v>
          </cell>
          <cell r="G26">
            <v>0.79449999999999998</v>
          </cell>
        </row>
        <row r="27">
          <cell r="B27" t="str">
            <v>IE00BKX55Q28</v>
          </cell>
          <cell r="C27" t="str">
            <v>VAN FTSE 250 GBP</v>
          </cell>
          <cell r="D27" t="str">
            <v>ETF &amp; Tracker</v>
          </cell>
          <cell r="E27"/>
          <cell r="F27">
            <v>62320.158997995539</v>
          </cell>
          <cell r="G27">
            <v>0.7</v>
          </cell>
        </row>
        <row r="28">
          <cell r="B28" t="str">
            <v>GB00BN7SWP63</v>
          </cell>
          <cell r="C28" t="str">
            <v>GSK RG</v>
          </cell>
          <cell r="D28" t="str">
            <v>Ordinary Share</v>
          </cell>
          <cell r="E28"/>
          <cell r="F28">
            <v>63350.769509529688</v>
          </cell>
          <cell r="G28">
            <v>0.79449999999999998</v>
          </cell>
        </row>
        <row r="29">
          <cell r="B29" t="str">
            <v>GB0007980591</v>
          </cell>
          <cell r="C29" t="str">
            <v>BP</v>
          </cell>
          <cell r="D29" t="str">
            <v>Ordinary Share</v>
          </cell>
          <cell r="E29"/>
          <cell r="F29">
            <v>44989.875768660189</v>
          </cell>
          <cell r="G29">
            <v>0.79449999999999998</v>
          </cell>
        </row>
        <row r="30">
          <cell r="B30" t="str">
            <v>XS2393498204</v>
          </cell>
          <cell r="C30" t="str">
            <v>ROTHESA CCV -S FTVN</v>
          </cell>
          <cell r="D30" t="str">
            <v>Bond</v>
          </cell>
          <cell r="E30"/>
          <cell r="F30">
            <v>309531.03518566751</v>
          </cell>
          <cell r="G30">
            <v>0.51559999999999995</v>
          </cell>
        </row>
        <row r="31">
          <cell r="B31" t="str">
            <v>CASHWITHINSG</v>
          </cell>
          <cell r="C31" t="str">
            <v>CASHWITHINSG</v>
          </cell>
          <cell r="D31" t="str">
            <v>Deposit</v>
          </cell>
          <cell r="E31">
            <v>3782.92</v>
          </cell>
          <cell r="F31">
            <v>4799.3952640340649</v>
          </cell>
          <cell r="G31">
            <v>1</v>
          </cell>
        </row>
        <row r="32">
          <cell r="B32" t="str">
            <v>CASHWITHINSG</v>
          </cell>
          <cell r="C32" t="str">
            <v>CASHWITHINSG</v>
          </cell>
          <cell r="D32" t="str">
            <v>Deposit</v>
          </cell>
          <cell r="E32">
            <v>92904.85</v>
          </cell>
          <cell r="F32">
            <v>92904.850344835402</v>
          </cell>
          <cell r="G32">
            <v>1</v>
          </cell>
        </row>
        <row r="33">
          <cell r="B33" t="str">
            <v>LU0067412154</v>
          </cell>
          <cell r="C33" t="str">
            <v>UBS(LU)EF-CH OP P</v>
          </cell>
          <cell r="D33" t="str">
            <v>Share Fund</v>
          </cell>
          <cell r="E33"/>
          <cell r="F33">
            <v>29071.707643001937</v>
          </cell>
          <cell r="G33">
            <v>0</v>
          </cell>
        </row>
        <row r="34">
          <cell r="B34" t="str">
            <v>US4642882249</v>
          </cell>
          <cell r="C34" t="str">
            <v>ISH SP GL CL EN</v>
          </cell>
          <cell r="D34" t="str">
            <v>ETF &amp; Tracker</v>
          </cell>
          <cell r="E34"/>
          <cell r="F34">
            <v>5248.7457957260795</v>
          </cell>
          <cell r="G34">
            <v>0.65</v>
          </cell>
        </row>
        <row r="35">
          <cell r="B35" t="str">
            <v>US58933Y1055</v>
          </cell>
          <cell r="C35" t="str">
            <v>MERCK &amp; CO</v>
          </cell>
          <cell r="D35" t="str">
            <v>Ordinary Share</v>
          </cell>
          <cell r="E35"/>
          <cell r="F35">
            <v>51972.481116156872</v>
          </cell>
          <cell r="G35">
            <v>0.79449999999999998</v>
          </cell>
        </row>
        <row r="36">
          <cell r="B36" t="str">
            <v>GB0002374006</v>
          </cell>
          <cell r="C36" t="str">
            <v>DIAGEO</v>
          </cell>
          <cell r="D36" t="str">
            <v>Ordinary Share</v>
          </cell>
          <cell r="E36"/>
          <cell r="F36">
            <v>50171.500402024853</v>
          </cell>
          <cell r="G36">
            <v>0.79449999999999998</v>
          </cell>
        </row>
        <row r="37">
          <cell r="B37" t="str">
            <v>US8447411088</v>
          </cell>
          <cell r="C37" t="str">
            <v>SOUTHWEST AIRLINES</v>
          </cell>
          <cell r="D37" t="str">
            <v>Ordinary Share</v>
          </cell>
          <cell r="E37"/>
          <cell r="F37">
            <v>90607.99746327984</v>
          </cell>
          <cell r="G37">
            <v>0.79449999999999998</v>
          </cell>
        </row>
        <row r="38">
          <cell r="B38" t="str">
            <v>IE00B6S2Z822</v>
          </cell>
          <cell r="C38" t="str">
            <v>SPDR S&amp;P UK DIV GBP</v>
          </cell>
          <cell r="D38" t="str">
            <v>ETF &amp; Tracker</v>
          </cell>
          <cell r="E38"/>
          <cell r="F38">
            <v>84179.631496098664</v>
          </cell>
          <cell r="G38">
            <v>0.75</v>
          </cell>
        </row>
        <row r="39">
          <cell r="B39" t="str">
            <v>US1101221083</v>
          </cell>
          <cell r="C39" t="str">
            <v>BRISTOL-MYERS</v>
          </cell>
          <cell r="D39" t="str">
            <v>Ordinary Share</v>
          </cell>
          <cell r="E39"/>
          <cell r="F39">
            <v>9661.008119769429</v>
          </cell>
          <cell r="G39">
            <v>0.79449999999999998</v>
          </cell>
        </row>
        <row r="40">
          <cell r="B40" t="str">
            <v>US2948216088</v>
          </cell>
          <cell r="C40" t="str">
            <v>TELEFON ERICSSON ADR</v>
          </cell>
          <cell r="D40" t="str">
            <v>Ordinary Share</v>
          </cell>
          <cell r="E40"/>
          <cell r="F40">
            <v>3353.8045140029221</v>
          </cell>
          <cell r="G40">
            <v>0.79449999999999998</v>
          </cell>
        </row>
        <row r="41">
          <cell r="B41" t="str">
            <v>GB00B24CGK77</v>
          </cell>
          <cell r="C41" t="str">
            <v>RECKITT BEN GRP</v>
          </cell>
          <cell r="D41" t="str">
            <v>Ordinary Share</v>
          </cell>
          <cell r="E41"/>
          <cell r="F41">
            <v>52388.423949356198</v>
          </cell>
          <cell r="G41">
            <v>0.79449999999999998</v>
          </cell>
        </row>
        <row r="42">
          <cell r="B42" t="str">
            <v>XS2384475930</v>
          </cell>
          <cell r="C42" t="str">
            <v>3.875 CRE 26 BDS -S</v>
          </cell>
          <cell r="D42" t="str">
            <v>Bond</v>
          </cell>
          <cell r="E42"/>
          <cell r="F42">
            <v>93042.003102952338</v>
          </cell>
          <cell r="G42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4">
          <cell r="B4"/>
        </row>
      </sheetData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936B-F8A3-4520-8692-B6EED23E9A2B}">
  <dimension ref="A1:BK48"/>
  <sheetViews>
    <sheetView showGridLines="0" topLeftCell="D1" workbookViewId="0">
      <selection activeCell="D1" sqref="D1"/>
    </sheetView>
  </sheetViews>
  <sheetFormatPr defaultRowHeight="15" x14ac:dyDescent="0.25"/>
  <cols>
    <col min="1" max="1" width="6.42578125" customWidth="1"/>
    <col min="2" max="2" width="23.5703125" customWidth="1"/>
    <col min="3" max="3" width="17.42578125" customWidth="1"/>
    <col min="4" max="4" width="15.7109375" customWidth="1"/>
    <col min="5" max="5" width="31.85546875" customWidth="1"/>
    <col min="6" max="6" width="9.85546875" customWidth="1"/>
    <col min="7" max="7" width="17.28515625" customWidth="1"/>
    <col min="8" max="8" width="14.7109375" customWidth="1"/>
    <col min="9" max="10" width="9.42578125" customWidth="1"/>
    <col min="11" max="11" width="12.7109375" customWidth="1"/>
    <col min="12" max="12" width="10.140625" customWidth="1"/>
    <col min="14" max="14" width="10.140625" customWidth="1"/>
    <col min="15" max="16" width="9.42578125" bestFit="1" customWidth="1"/>
    <col min="18" max="20" width="9.42578125" bestFit="1" customWidth="1"/>
    <col min="21" max="21" width="9.42578125" customWidth="1"/>
    <col min="22" max="28" width="9.140625" customWidth="1"/>
    <col min="29" max="29" width="9.42578125" customWidth="1"/>
    <col min="30" max="30" width="19" customWidth="1"/>
    <col min="32" max="34" width="9.42578125" customWidth="1"/>
    <col min="35" max="35" width="17" customWidth="1"/>
    <col min="36" max="36" width="0" hidden="1" customWidth="1"/>
    <col min="40" max="40" width="10.42578125" customWidth="1"/>
    <col min="41" max="42" width="9.42578125" customWidth="1"/>
    <col min="43" max="43" width="0" hidden="1" customWidth="1"/>
    <col min="44" max="44" width="9.42578125" customWidth="1"/>
    <col min="59" max="59" width="13.7109375" customWidth="1"/>
    <col min="60" max="61" width="9.42578125" customWidth="1"/>
    <col min="62" max="62" width="10.140625" customWidth="1"/>
    <col min="63" max="63" width="10.42578125" customWidth="1"/>
  </cols>
  <sheetData>
    <row r="1" spans="1:63" s="4" customFormat="1" ht="30.75" customHeight="1" x14ac:dyDescent="0.25">
      <c r="A1" s="1" t="s">
        <v>129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2" t="s">
        <v>130</v>
      </c>
      <c r="W1" s="2" t="s">
        <v>131</v>
      </c>
      <c r="X1" s="3" t="s">
        <v>132</v>
      </c>
      <c r="Y1" s="3" t="s">
        <v>133</v>
      </c>
      <c r="Z1" s="3" t="s">
        <v>134</v>
      </c>
      <c r="AA1" s="3" t="s">
        <v>135</v>
      </c>
      <c r="AB1" s="1" t="s">
        <v>136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128</v>
      </c>
      <c r="AK1" s="1" t="s">
        <v>27</v>
      </c>
      <c r="AL1" s="1" t="s">
        <v>28</v>
      </c>
      <c r="AM1" s="1" t="s">
        <v>29</v>
      </c>
      <c r="AN1" s="3" t="s">
        <v>30</v>
      </c>
      <c r="AO1" s="3" t="s">
        <v>31</v>
      </c>
      <c r="AP1" s="3" t="s">
        <v>32</v>
      </c>
      <c r="AQ1" s="1" t="s">
        <v>123</v>
      </c>
      <c r="AR1" s="1" t="s">
        <v>33</v>
      </c>
      <c r="AS1" s="1" t="s">
        <v>34</v>
      </c>
      <c r="AT1" s="1" t="s">
        <v>35</v>
      </c>
      <c r="AU1" s="1" t="s">
        <v>36</v>
      </c>
      <c r="BG1" s="1" t="s">
        <v>5</v>
      </c>
      <c r="BH1" s="1" t="s">
        <v>37</v>
      </c>
      <c r="BI1" s="1" t="s">
        <v>38</v>
      </c>
      <c r="BJ1" s="1" t="s">
        <v>39</v>
      </c>
      <c r="BK1" s="1" t="s">
        <v>40</v>
      </c>
    </row>
    <row r="2" spans="1:63" s="15" customFormat="1" ht="14.45" customHeight="1" x14ac:dyDescent="0.25">
      <c r="A2" s="16" t="s">
        <v>138</v>
      </c>
      <c r="B2" s="16" t="s">
        <v>51</v>
      </c>
      <c r="C2" s="16" t="s">
        <v>52</v>
      </c>
      <c r="D2" s="16" t="s">
        <v>53</v>
      </c>
      <c r="E2" s="11" t="str">
        <f>_xll.BDP(AI2,"ds520")</f>
        <v>Abu Dhabi Developmental Holding Co PJSC</v>
      </c>
      <c r="F2" s="11" t="str">
        <f>_xll.BDP(AI2,"crncy")</f>
        <v>USD</v>
      </c>
      <c r="G2" s="34" t="s">
        <v>58</v>
      </c>
      <c r="H2" s="11" t="str">
        <f>IF(_xll.BDP(AI2,"RTG_MOODY")="#N/A N/A","N/A",_xll.BDP(AI2,"RTG_MOODY"))&amp;","&amp;IF(_xll.BDP(AI2,"RTG_FITCH")="#N/A N/A","N/A",_xll.BDP(AI2,"RTG_FITCH"))&amp;","&amp;IF(_xll.BDP(AI2,"RTG_SP")="#N/A N/A","N/A",_xll.BDP(AI2,"RTG_SP"))</f>
        <v>Aa2,AA,N/A</v>
      </c>
      <c r="I2" s="5">
        <f>_xll.BDP(AI2,"cpn")/100</f>
        <v>5.2499999999999998E-2</v>
      </c>
      <c r="J2" s="5">
        <f ca="1">_xll.BDP($G2&amp;" isin","YAS_BOND_YLD", "YAS_YLD_FLAG=15", "user_local_trade_date",AN2,"Yas_bond_px",$Q2)/100</f>
        <v>5.7895330000000002E-2</v>
      </c>
      <c r="K2" s="11" t="str">
        <f>_xll.BDP(AI2,"PAYMENT_RANK")</f>
        <v>Sr Unsecured</v>
      </c>
      <c r="L2" s="11" t="str">
        <f>IF((TEXT(_xll.BDP(AI2,"MATURITY"),"DD/MM/YYYY")="#N/A Field Not Applicable"),"Perp",TEXT(_xll.BDP(AI2,"MATURITY"),"DD/MM/YYYY"))</f>
        <v>02/10/2054</v>
      </c>
      <c r="M2" s="6">
        <f>(IF(_xll.BDP($AI2&amp;" ISIN","DU003")="#n/a n/a"," ",_xll.BDP($AI2&amp;" ISIN","DU003")))</f>
        <v>14.756005052809433</v>
      </c>
      <c r="N2" s="11" t="str">
        <f>IF(_xll.BDP(AI2,"CALLABLE")="Y",_xll.BDP(AI2,"NXT_CALL_DT")," ")</f>
        <v>02/04/2054</v>
      </c>
      <c r="O2" s="35">
        <v>200000</v>
      </c>
      <c r="P2" s="34">
        <v>94.198999999999998</v>
      </c>
      <c r="Q2" s="13">
        <f>_xll.BDP(AI2,"px_bid")</f>
        <v>92.412000000000006</v>
      </c>
      <c r="R2" s="7">
        <f>IF(F2="USD",AG2,(((_xll.BDP(F2&amp;"USD CURNCY","PX_LAST")))*AG2))</f>
        <v>188398</v>
      </c>
      <c r="S2" s="7">
        <f>IF(F2="USD",AH2,(((_xll.BDP(F2&amp;"USD CURNCY","PX_LAST")))*AH2))+AP2</f>
        <v>185057.33333333334</v>
      </c>
      <c r="T2" s="8">
        <f t="shared" ref="T2:T48" si="0">U2*R2</f>
        <v>-3573.9999999999841</v>
      </c>
      <c r="U2" s="9">
        <f t="shared" ref="U2:U48" si="1">(Q2-P2)/P2</f>
        <v>-1.897047739360282E-2</v>
      </c>
      <c r="V2" s="9" cm="1">
        <f t="array" ref="V2">IFERROR(_xll.BDP($G2&amp;" ISIN","CHG_PCT_1D")/100,"")</f>
        <v>3.2456994482310628E-3</v>
      </c>
      <c r="W2" s="9" cm="1">
        <f t="array" ref="W2">IFERROR(_xll.BDP($G2&amp;" ISIN","CHG_PCT_5D")/100,"")</f>
        <v>-1.2281243675638738E-2</v>
      </c>
      <c r="X2" s="9" cm="1">
        <f t="array" ref="X2">_xll.BDP($G2&amp;" ISIN","CHG_PCT_1M")/100</f>
        <v>-1.3237704045799902E-2</v>
      </c>
      <c r="Y2" s="9" cm="1">
        <f t="array" ref="Y2">_xll.BDP($G2&amp;" ISIN","CHG_PCT_3M")/100</f>
        <v>3.702792471398704E-2</v>
      </c>
      <c r="Z2" s="9" cm="1">
        <f t="array" ref="Z2">_xll.BDP($G2&amp;" ISIN","CHG_PCT_6M")/100</f>
        <v>-4.3458527175763012E-2</v>
      </c>
      <c r="AA2" s="9" cm="1">
        <f t="array" ref="AA2">_xll.BDP($G2&amp;" ISIN","CHG_PCT_YTD")/100</f>
        <v>8.8668878855464039E-3</v>
      </c>
      <c r="AB2" s="9" t="e">
        <f t="shared" ref="AB2:AB39" si="2">S2/$H$38</f>
        <v>#VALUE!</v>
      </c>
      <c r="AC2" s="12">
        <f t="shared" ref="AC2:AC48" ca="1" si="3">((AF2*I2)* ((TODAY()-BJ2)/360))+(Q2-P2)%*AF2</f>
        <v>1063.5000000000159</v>
      </c>
      <c r="AD2" s="11" t="str">
        <f>_xll.BDP(AI2,"DS199")</f>
        <v>Financial</v>
      </c>
      <c r="AE2" s="13">
        <f>_xll.BDP(AI2,"px_ask")</f>
        <v>93.049000000000007</v>
      </c>
      <c r="AF2" s="12">
        <f>IF(F2="USD",O2,(((_xll.BDP(F2&amp;"USD CURNCY","PX_LAST")))*O2))</f>
        <v>200000</v>
      </c>
      <c r="AG2" s="7">
        <f t="shared" ref="AG2:AG48" si="4">O2*P2/100</f>
        <v>188398</v>
      </c>
      <c r="AH2" s="7">
        <f t="shared" ref="AH2:AH48" si="5">Q2*O2/100</f>
        <v>184824</v>
      </c>
      <c r="AI2" s="11" t="str">
        <f t="shared" ref="AI2:AI48" si="6">G2&amp; " ISIN"</f>
        <v>XS2907245208 ISIN</v>
      </c>
      <c r="AJ2" s="11" t="e" cm="1">
        <f t="array" ref="AJ2">VLOOKUP(IF(NOT(_xll.BDP($G2&amp;" CORP",$CA$4)="#N/A N/A"),(_xll.BDP($G2&amp;" CORP",$CA$4)),"-"), '[1]Country Codes'!$A$2:$B$253,2,0)</f>
        <v>#N/A</v>
      </c>
      <c r="AK2" s="11" t="str" cm="1">
        <f t="array" ref="AK2">IF(OR(_xll.BDP($AI2,"EX028")= "#N/A N/A", _xll.BDP($AI2,"EX028")="#N/A FIELD NOT APPLICABLE"), " ", _xll.BDP($AI2,"EX028"))</f>
        <v>FixedIncome</v>
      </c>
      <c r="AL2" s="5" t="str">
        <f>(IF(_xll.BDP($AI2&amp;" ISIN","DZ282")="Y","Single line Bonds Cocos","Single line Bonds ex Cocos"))</f>
        <v>Single line Bonds ex Cocos</v>
      </c>
      <c r="AM2" s="6">
        <f>(IF(_xll.BDP($G2&amp;" ISIN","SP153")="#n/a n/a"," ",_xll.BDP($G2&amp;" ISIN","SP153")))</f>
        <v>197.98293526910058</v>
      </c>
      <c r="AN2" s="14">
        <f t="shared" ref="AN2:AN48" ca="1" si="7">TODAY()</f>
        <v>45755</v>
      </c>
      <c r="AO2" s="7">
        <f>(((_xll.BDP(AI2,"DS032"))/360)*I2)*O2</f>
        <v>233.33333333333334</v>
      </c>
      <c r="AP2" s="7">
        <f>IF(F2="USD",AO2,(((_xll.BDP(F2&amp;"USD CURNCY","PX_LAST")))*AO2))</f>
        <v>233.33333333333334</v>
      </c>
      <c r="AQ2" s="9" t="e">
        <f>S2/#REF!</f>
        <v>#REF!</v>
      </c>
      <c r="AR2" s="7">
        <f t="shared" ref="AR2:AR48" si="8">S2-AP2</f>
        <v>184824</v>
      </c>
      <c r="AS2" s="13">
        <f>IF((TEXT(_xll.BDP(AI2,"MATURITY"),"DD/MM/YYYY")="#N/A Field Not Applicable"),"Perp",_xll.BDP(AI2,"DS252"))</f>
        <v>29.4839151266256</v>
      </c>
      <c r="AT2" s="5" t="str">
        <f>(IF(_xll.BDP($AI2&amp;" ISIN","DT247")="Y","Yes","No"))</f>
        <v>No</v>
      </c>
      <c r="AU2" s="5" t="str">
        <f>PROPER(IF(OR(_xll.BDP($AI2,"CPN_TYP")="#n/a N/A",_xll.BDP($AI2,"CPN_TYP")= "#N/A FIELD NOT APPLICABLE"), " ", _xll.BDP($AI2,"CPN_TYP")))</f>
        <v>Fixed</v>
      </c>
      <c r="BG2" s="27" t="str">
        <f t="shared" ref="BG2:BG48" si="9">G2</f>
        <v>XS2907245208</v>
      </c>
      <c r="BH2" s="27">
        <v>0</v>
      </c>
      <c r="BI2" s="28" t="s">
        <v>60</v>
      </c>
      <c r="BJ2" s="36">
        <v>45596</v>
      </c>
      <c r="BK2" s="30"/>
    </row>
    <row r="3" spans="1:63" s="15" customFormat="1" ht="14.45" customHeight="1" x14ac:dyDescent="0.25">
      <c r="A3" s="16" t="s">
        <v>138</v>
      </c>
      <c r="B3" s="16" t="s">
        <v>61</v>
      </c>
      <c r="C3" s="16" t="s">
        <v>62</v>
      </c>
      <c r="D3" s="16" t="s">
        <v>53</v>
      </c>
      <c r="E3" s="11" t="str">
        <f>_xll.BDP(AI3,"ds520")</f>
        <v>Abu Dhabi Developmental Holding Co PJSC</v>
      </c>
      <c r="F3" s="11" t="str">
        <f>_xll.BDP(AI3,"crncy")</f>
        <v>USD</v>
      </c>
      <c r="G3" s="34" t="s">
        <v>58</v>
      </c>
      <c r="H3" s="11" t="str">
        <f>IF(_xll.BDP(AI3,"RTG_MOODY")="#N/A N/A","N/A",_xll.BDP(AI3,"RTG_MOODY"))&amp;","&amp;IF(_xll.BDP(AI3,"RTG_FITCH")="#N/A N/A","N/A",_xll.BDP(AI3,"RTG_FITCH"))&amp;","&amp;IF(_xll.BDP(AI3,"RTG_SP")="#N/A N/A","N/A",_xll.BDP(AI3,"RTG_SP"))</f>
        <v>Aa2,AA,N/A</v>
      </c>
      <c r="I3" s="5">
        <f>_xll.BDP(AI3,"cpn")/100</f>
        <v>5.2499999999999998E-2</v>
      </c>
      <c r="J3" s="5">
        <f ca="1">_xll.BDP($G3&amp;" isin","YAS_BOND_YLD", "YAS_YLD_FLAG=15", "user_local_trade_date",AN3,"Yas_bond_px",$Q3)/100</f>
        <v>5.7895330000000002E-2</v>
      </c>
      <c r="K3" s="11" t="str">
        <f>_xll.BDP(AI3,"PAYMENT_RANK")</f>
        <v>Sr Unsecured</v>
      </c>
      <c r="L3" s="11" t="str">
        <f>IF((TEXT(_xll.BDP(AI3,"MATURITY"),"DD/MM/YYYY")="#N/A Field Not Applicable"),"Perp",TEXT(_xll.BDP(AI3,"MATURITY"),"DD/MM/YYYY"))</f>
        <v>02/10/2054</v>
      </c>
      <c r="M3" s="6">
        <f>(IF(_xll.BDP($AI3&amp;" ISIN","DU003")="#n/a n/a"," ",_xll.BDP($AI3&amp;" ISIN","DU003")))</f>
        <v>14.756005052809433</v>
      </c>
      <c r="N3" s="11" t="str">
        <f>IF(_xll.BDP(AI3,"CALLABLE")="Y",_xll.BDP(AI3,"NXT_CALL_DT")," ")</f>
        <v>02/04/2054</v>
      </c>
      <c r="O3" s="35">
        <v>200000</v>
      </c>
      <c r="P3" s="34">
        <v>94.198999999999998</v>
      </c>
      <c r="Q3" s="13">
        <f>_xll.BDP(AI3,"px_bid")</f>
        <v>92.412000000000006</v>
      </c>
      <c r="R3" s="7">
        <f>IF(F3="USD",AG3,(((_xll.BDP(F3&amp;"USD CURNCY","PX_LAST")))*AG3))</f>
        <v>188398</v>
      </c>
      <c r="S3" s="7">
        <f>IF(F3="USD",AH3,(((_xll.BDP(F3&amp;"USD CURNCY","PX_LAST")))*AH3))+AP3</f>
        <v>185057.33333333334</v>
      </c>
      <c r="T3" s="8">
        <f t="shared" si="0"/>
        <v>-3573.9999999999841</v>
      </c>
      <c r="U3" s="9">
        <f t="shared" si="1"/>
        <v>-1.897047739360282E-2</v>
      </c>
      <c r="V3" s="9" cm="1">
        <f t="array" ref="V3">IFERROR(_xll.BDP($G3&amp;" ISIN","CHG_PCT_1D")/100,"")</f>
        <v>3.2456994482310628E-3</v>
      </c>
      <c r="W3" s="9" cm="1">
        <f t="array" ref="W3">IFERROR(_xll.BDP($G3&amp;" ISIN","CHG_PCT_5D")/100,"")</f>
        <v>-1.2281243675638738E-2</v>
      </c>
      <c r="X3" s="9" cm="1">
        <f t="array" ref="X3">_xll.BDP($G3&amp;" ISIN","CHG_PCT_1M")/100</f>
        <v>-1.3237704045799902E-2</v>
      </c>
      <c r="Y3" s="9" cm="1">
        <f t="array" ref="Y3">_xll.BDP($G3&amp;" ISIN","CHG_PCT_3M")/100</f>
        <v>3.702792471398704E-2</v>
      </c>
      <c r="Z3" s="9" cm="1">
        <f t="array" ref="Z3">_xll.BDP($G3&amp;" ISIN","CHG_PCT_6M")/100</f>
        <v>-4.3458527175763012E-2</v>
      </c>
      <c r="AA3" s="9" cm="1">
        <f t="array" ref="AA3">_xll.BDP($G3&amp;" ISIN","CHG_PCT_YTD")/100</f>
        <v>8.8668878855464039E-3</v>
      </c>
      <c r="AB3" s="9" t="e">
        <f t="shared" si="2"/>
        <v>#VALUE!</v>
      </c>
      <c r="AC3" s="12">
        <f t="shared" ca="1" si="3"/>
        <v>1063.5000000000159</v>
      </c>
      <c r="AD3" s="11" t="str">
        <f>_xll.BDP(AI3,"DS199")</f>
        <v>Financial</v>
      </c>
      <c r="AE3" s="13">
        <f>_xll.BDP(AI3,"px_ask")</f>
        <v>93.049000000000007</v>
      </c>
      <c r="AF3" s="12">
        <f>IF(F3="USD",O3,(((_xll.BDP(F3&amp;"USD CURNCY","PX_LAST")))*O3))</f>
        <v>200000</v>
      </c>
      <c r="AG3" s="7">
        <f t="shared" si="4"/>
        <v>188398</v>
      </c>
      <c r="AH3" s="7">
        <f t="shared" si="5"/>
        <v>184824</v>
      </c>
      <c r="AI3" s="11" t="str">
        <f t="shared" si="6"/>
        <v>XS2907245208 ISIN</v>
      </c>
      <c r="AJ3" s="11" t="e" cm="1">
        <f t="array" ref="AJ3">VLOOKUP(IF(NOT(_xll.BDP($G3&amp;" CORP",$CA$4)="#N/A N/A"),(_xll.BDP($G3&amp;" CORP",$CA$4)),"-"), '[1]Country Codes'!$A$2:$B$253,2,0)</f>
        <v>#N/A</v>
      </c>
      <c r="AK3" s="11" t="str" cm="1">
        <f t="array" ref="AK3">IF(OR(_xll.BDP($AI3,"EX028")= "#N/A N/A", _xll.BDP($AI3,"EX028")="#N/A FIELD NOT APPLICABLE"), " ", _xll.BDP($AI3,"EX028"))</f>
        <v>FixedIncome</v>
      </c>
      <c r="AL3" s="5" t="str">
        <f>(IF(_xll.BDP($AI3&amp;" ISIN","DZ282")="Y","Single line Bonds Cocos","Single line Bonds ex Cocos"))</f>
        <v>Single line Bonds ex Cocos</v>
      </c>
      <c r="AM3" s="6">
        <f>(IF(_xll.BDP($G3&amp;" ISIN","SP153")="#n/a n/a"," ",_xll.BDP($G3&amp;" ISIN","SP153")))</f>
        <v>197.98293526910058</v>
      </c>
      <c r="AN3" s="14">
        <f t="shared" ca="1" si="7"/>
        <v>45755</v>
      </c>
      <c r="AO3" s="7">
        <f>(((_xll.BDP(AI3,"DS032"))/360)*I3)*O3</f>
        <v>233.33333333333334</v>
      </c>
      <c r="AP3" s="7">
        <f>IF(F3="USD",AO3,(((_xll.BDP(F3&amp;"USD CURNCY","PX_LAST")))*AO3))</f>
        <v>233.33333333333334</v>
      </c>
      <c r="AQ3" s="9" t="e">
        <f>S3/#REF!</f>
        <v>#REF!</v>
      </c>
      <c r="AR3" s="7">
        <f t="shared" si="8"/>
        <v>184824</v>
      </c>
      <c r="AS3" s="13">
        <f>IF((TEXT(_xll.BDP(AI3,"MATURITY"),"DD/MM/YYYY")="#N/A Field Not Applicable"),"Perp",_xll.BDP(AI3,"DS252"))</f>
        <v>29.4839151266256</v>
      </c>
      <c r="AT3" s="5" t="str">
        <f>(IF(_xll.BDP($AI3&amp;" ISIN","DT247")="Y","Yes","No"))</f>
        <v>No</v>
      </c>
      <c r="AU3" s="5" t="str">
        <f>PROPER(IF(OR(_xll.BDP($AI3,"CPN_TYP")="#n/a N/A",_xll.BDP($AI3,"CPN_TYP")= "#N/A FIELD NOT APPLICABLE"), " ", _xll.BDP($AI3,"CPN_TYP")))</f>
        <v>Fixed</v>
      </c>
      <c r="BG3" s="27" t="str">
        <f t="shared" si="9"/>
        <v>XS2907245208</v>
      </c>
      <c r="BH3" s="27">
        <v>0.67390000000000005</v>
      </c>
      <c r="BI3" s="28">
        <v>2</v>
      </c>
      <c r="BJ3" s="36">
        <v>45596</v>
      </c>
      <c r="BK3" s="30"/>
    </row>
    <row r="4" spans="1:63" s="15" customFormat="1" ht="14.45" customHeight="1" x14ac:dyDescent="0.25">
      <c r="A4" s="16" t="s">
        <v>138</v>
      </c>
      <c r="B4" s="16" t="s">
        <v>72</v>
      </c>
      <c r="C4" s="16" t="s">
        <v>73</v>
      </c>
      <c r="D4" s="16" t="s">
        <v>53</v>
      </c>
      <c r="E4" s="11" t="str">
        <f>_xll.BDP(AI4,"ds520")</f>
        <v>Abu Dhabi Developmental Holding Co PJSC</v>
      </c>
      <c r="F4" s="11" t="str">
        <f>_xll.BDP(AI4,"crncy")</f>
        <v>USD</v>
      </c>
      <c r="G4" s="34" t="s">
        <v>58</v>
      </c>
      <c r="H4" s="11" t="str">
        <f>IF(_xll.BDP(AI4,"RTG_MOODY")="#N/A N/A","N/A",_xll.BDP(AI4,"RTG_MOODY"))&amp;","&amp;IF(_xll.BDP(AI4,"RTG_FITCH")="#N/A N/A","N/A",_xll.BDP(AI4,"RTG_FITCH"))&amp;","&amp;IF(_xll.BDP(AI4,"RTG_SP")="#N/A N/A","N/A",_xll.BDP(AI4,"RTG_SP"))</f>
        <v>Aa2,AA,N/A</v>
      </c>
      <c r="I4" s="5">
        <f>_xll.BDP(AI4,"cpn")/100</f>
        <v>5.2499999999999998E-2</v>
      </c>
      <c r="J4" s="5">
        <f ca="1">_xll.BDP($G4&amp;" isin","YAS_BOND_YLD", "YAS_YLD_FLAG=15", "user_local_trade_date",AN4,"Yas_bond_px",$Q4)/100</f>
        <v>5.7895330000000002E-2</v>
      </c>
      <c r="K4" s="11" t="str">
        <f>_xll.BDP(AI4,"PAYMENT_RANK")</f>
        <v>Sr Unsecured</v>
      </c>
      <c r="L4" s="11" t="str">
        <f>IF((TEXT(_xll.BDP(AI4,"MATURITY"),"DD/MM/YYYY")="#N/A Field Not Applicable"),"Perp",TEXT(_xll.BDP(AI4,"MATURITY"),"DD/MM/YYYY"))</f>
        <v>02/10/2054</v>
      </c>
      <c r="M4" s="6">
        <f>(IF(_xll.BDP($AI4&amp;" ISIN","DU003")="#n/a n/a"," ",_xll.BDP($AI4&amp;" ISIN","DU003")))</f>
        <v>14.756005052809433</v>
      </c>
      <c r="N4" s="11" t="str">
        <f>IF(_xll.BDP(AI4,"CALLABLE")="Y",_xll.BDP(AI4,"NXT_CALL_DT")," ")</f>
        <v>02/04/2054</v>
      </c>
      <c r="O4" s="35">
        <v>300000</v>
      </c>
      <c r="P4" s="34">
        <v>94.17</v>
      </c>
      <c r="Q4" s="13">
        <f>_xll.BDP(AI4,"px_bid")</f>
        <v>92.412000000000006</v>
      </c>
      <c r="R4" s="7">
        <f>IF(F4="USD",AG4,(((_xll.BDP(F4&amp;"USD CURNCY","PX_LAST")))*AG4))</f>
        <v>282510</v>
      </c>
      <c r="S4" s="7">
        <f>IF(F4="USD",AH4,(((_xll.BDP(F4&amp;"USD CURNCY","PX_LAST")))*AH4))+AP4</f>
        <v>277586</v>
      </c>
      <c r="T4" s="8">
        <f t="shared" si="0"/>
        <v>-5273.9999999999864</v>
      </c>
      <c r="U4" s="9">
        <f t="shared" si="1"/>
        <v>-1.8668365721567329E-2</v>
      </c>
      <c r="V4" s="9" cm="1">
        <f t="array" ref="V4">IFERROR(_xll.BDP($G4&amp;" ISIN","CHG_PCT_1D")/100,"")</f>
        <v>3.2456994482310628E-3</v>
      </c>
      <c r="W4" s="9" cm="1">
        <f t="array" ref="W4">IFERROR(_xll.BDP($G4&amp;" ISIN","CHG_PCT_5D")/100,"")</f>
        <v>-1.2281243675638738E-2</v>
      </c>
      <c r="X4" s="9" cm="1">
        <f t="array" ref="X4">_xll.BDP($G4&amp;" ISIN","CHG_PCT_1M")/100</f>
        <v>-1.3237704045799902E-2</v>
      </c>
      <c r="Y4" s="9" cm="1">
        <f t="array" ref="Y4">_xll.BDP($G4&amp;" ISIN","CHG_PCT_3M")/100</f>
        <v>3.702792471398704E-2</v>
      </c>
      <c r="Z4" s="9" cm="1">
        <f t="array" ref="Z4">_xll.BDP($G4&amp;" ISIN","CHG_PCT_6M")/100</f>
        <v>-4.3458527175763012E-2</v>
      </c>
      <c r="AA4" s="9" cm="1">
        <f t="array" ref="AA4">_xll.BDP($G4&amp;" ISIN","CHG_PCT_YTD")/100</f>
        <v>8.8668878855464039E-3</v>
      </c>
      <c r="AB4" s="9" t="e">
        <f t="shared" si="2"/>
        <v>#VALUE!</v>
      </c>
      <c r="AC4" s="12">
        <f t="shared" ca="1" si="3"/>
        <v>1682.2500000000127</v>
      </c>
      <c r="AD4" s="11" t="str">
        <f>_xll.BDP(AI4,"DS199")</f>
        <v>Financial</v>
      </c>
      <c r="AE4" s="13">
        <f>_xll.BDP(AI4,"px_ask")</f>
        <v>93.049000000000007</v>
      </c>
      <c r="AF4" s="12">
        <f>IF(F4="USD",O4,(((_xll.BDP(F4&amp;"USD CURNCY","PX_LAST")))*O4))</f>
        <v>300000</v>
      </c>
      <c r="AG4" s="7">
        <f t="shared" si="4"/>
        <v>282510</v>
      </c>
      <c r="AH4" s="7">
        <f t="shared" si="5"/>
        <v>277236</v>
      </c>
      <c r="AI4" s="11" t="str">
        <f t="shared" si="6"/>
        <v>XS2907245208 ISIN</v>
      </c>
      <c r="AJ4" s="11" t="e" cm="1">
        <f t="array" ref="AJ4">VLOOKUP(IF(NOT(_xll.BDP($G4&amp;" CORP",$CA$4)="#N/A N/A"),(_xll.BDP($G4&amp;" CORP",$CA$4)),"-"), '[1]Country Codes'!$A$2:$B$253,2,0)</f>
        <v>#N/A</v>
      </c>
      <c r="AK4" s="11" t="str" cm="1">
        <f t="array" ref="AK4">IF(OR(_xll.BDP($AI4,"EX028")= "#N/A N/A", _xll.BDP($AI4,"EX028")="#N/A FIELD NOT APPLICABLE"), " ", _xll.BDP($AI4,"EX028"))</f>
        <v>FixedIncome</v>
      </c>
      <c r="AL4" s="5" t="str">
        <f>(IF(_xll.BDP($AI4&amp;" ISIN","DZ282")="Y","Single line Bonds Cocos","Single line Bonds ex Cocos"))</f>
        <v>Single line Bonds ex Cocos</v>
      </c>
      <c r="AM4" s="6">
        <f>(IF(_xll.BDP($G4&amp;" ISIN","SP153")="#n/a n/a"," ",_xll.BDP($G4&amp;" ISIN","SP153")))</f>
        <v>197.98293526910058</v>
      </c>
      <c r="AN4" s="14">
        <f t="shared" ca="1" si="7"/>
        <v>45755</v>
      </c>
      <c r="AO4" s="7">
        <f>(((_xll.BDP(AI4,"DS032"))/360)*I4)*O4</f>
        <v>350.00000000000006</v>
      </c>
      <c r="AP4" s="7">
        <f>IF(F4="USD",AO4,(((_xll.BDP(F4&amp;"USD CURNCY","PX_LAST")))*AO4))</f>
        <v>350.00000000000006</v>
      </c>
      <c r="AQ4" s="9" t="e">
        <f>S4/$S$139</f>
        <v>#DIV/0!</v>
      </c>
      <c r="AR4" s="7">
        <f t="shared" si="8"/>
        <v>277236</v>
      </c>
      <c r="AS4" s="13">
        <f>IF((TEXT(_xll.BDP(AI4,"MATURITY"),"DD/MM/YYYY")="#N/A Field Not Applicable"),"Perp",_xll.BDP(AI4,"DS252"))</f>
        <v>29.4839151266256</v>
      </c>
      <c r="AT4" s="5" t="str">
        <f>(IF(_xll.BDP($AI4&amp;" ISIN","DT247")="Y","Yes","No"))</f>
        <v>No</v>
      </c>
      <c r="AU4" s="5" t="str">
        <f>PROPER(IF(OR(_xll.BDP($AI4,"CPN_TYP")="#n/a N/A",_xll.BDP($AI4,"CPN_TYP")= "#N/A FIELD NOT APPLICABLE"), " ", _xll.BDP($AI4,"CPN_TYP")))</f>
        <v>Fixed</v>
      </c>
      <c r="BG4" s="27" t="str">
        <f t="shared" si="9"/>
        <v>XS2907245208</v>
      </c>
      <c r="BH4" s="27">
        <f>VLOOKUP(BG4,'[2]Portefeuille 4380430'!$B$3:$G$38,6,0)</f>
        <v>0.67610000000000003</v>
      </c>
      <c r="BI4" s="28">
        <v>2</v>
      </c>
      <c r="BJ4" s="36">
        <v>45596</v>
      </c>
      <c r="BK4" s="30"/>
    </row>
    <row r="5" spans="1:63" s="15" customFormat="1" ht="14.45" customHeight="1" x14ac:dyDescent="0.25">
      <c r="A5" s="16" t="s">
        <v>139</v>
      </c>
      <c r="B5" s="16" t="s">
        <v>64</v>
      </c>
      <c r="C5" s="16" t="s">
        <v>65</v>
      </c>
      <c r="D5" s="16" t="s">
        <v>53</v>
      </c>
      <c r="E5" s="11" t="str">
        <f>_xll.BDP(AI5,"ds520")</f>
        <v>Banque Ouest Africaine de Developpement</v>
      </c>
      <c r="F5" s="11" t="str">
        <f>_xll.BDP(AI5,"crncy")</f>
        <v>USD</v>
      </c>
      <c r="G5" s="34" t="s">
        <v>66</v>
      </c>
      <c r="H5" s="11" t="str">
        <f>IF(_xll.BDP(AI5,"RTG_MOODY")="#N/A N/A","N/A",_xll.BDP(AI5,"RTG_MOODY"))&amp;","&amp;IF(_xll.BDP(AI5,"RTG_FITCH")="#N/A N/A","N/A",_xll.BDP(AI5,"RTG_FITCH"))&amp;","&amp;IF(_xll.BDP(AI5,"RTG_SP")="#N/A N/A","N/A",_xll.BDP(AI5,"RTG_SP"))</f>
        <v>Baa3,N/A,N/A</v>
      </c>
      <c r="I5" s="5">
        <f>_xll.BDP(AI5,"cpn")/100</f>
        <v>8.199999999999999E-2</v>
      </c>
      <c r="J5" s="5">
        <f ca="1">_xll.BDP($G5&amp;" isin","YAS_BOND_YLD", "YAS_YLD_FLAG=15", "user_local_trade_date",AN5,"Yas_bond_px",$Q5)/100</f>
        <v>8.2272800000000007E-2</v>
      </c>
      <c r="K5" s="11" t="str">
        <f>_xll.BDP(AI5,"PAYMENT_RANK")</f>
        <v>Subordinated</v>
      </c>
      <c r="L5" s="11" t="str">
        <f>IF((TEXT(_xll.BDP(AI5,"MATURITY"),"DD/MM/YYYY")="#N/A Field Not Applicable"),"Perp",TEXT(_xll.BDP(AI5,"MATURITY"),"DD/MM/YYYY"))</f>
        <v>13/02/2055</v>
      </c>
      <c r="M5" s="6">
        <f>(IF(_xll.BDP($AI5&amp;" ISIN","DU003")="#n/a n/a"," ",_xll.BDP($AI5&amp;" ISIN","DU003")))</f>
        <v>4.0419339601692332</v>
      </c>
      <c r="N5" s="11" t="str">
        <f>IF(_xll.BDP(AI5,"CALLABLE")="Y",_xll.BDP(AI5,"NXT_CALL_DT")," ")</f>
        <v>13/02/2030</v>
      </c>
      <c r="O5" s="35">
        <v>200000</v>
      </c>
      <c r="P5" s="34">
        <v>98.863</v>
      </c>
      <c r="Q5" s="13">
        <f>_xll.BDP(AI5,"px_bid")</f>
        <v>99.875</v>
      </c>
      <c r="R5" s="7">
        <f>IF(F5="USD",AG5,(((_xll.BDP(F5&amp;"USD CURNCY","PX_LAST")))*AG5))</f>
        <v>197726</v>
      </c>
      <c r="S5" s="7">
        <f>IF(F5="USD",AH5,(((_xll.BDP(F5&amp;"USD CURNCY","PX_LAST")))*AH5))+AP5</f>
        <v>202346.66666666666</v>
      </c>
      <c r="T5" s="8">
        <f t="shared" si="0"/>
        <v>2024.0000000000009</v>
      </c>
      <c r="U5" s="9">
        <f t="shared" si="1"/>
        <v>1.023638772847274E-2</v>
      </c>
      <c r="V5" s="9" cm="1">
        <f t="array" ref="V5">IFERROR(_xll.BDP($G5&amp;" ISIN","CHG_PCT_1D")/100,"")</f>
        <v>0</v>
      </c>
      <c r="W5" s="9" t="str" cm="1">
        <f t="array" ref="W5">IFERROR(_xll.BDP($G5&amp;" ISIN","CHG_PCT_5D")/100,"")</f>
        <v/>
      </c>
      <c r="X5" s="9" t="e" cm="1">
        <f t="array" ref="X5">_xll.BDP($G5&amp;" ISIN","CHG_PCT_1M")/100</f>
        <v>#VALUE!</v>
      </c>
      <c r="Y5" s="9" t="e" cm="1">
        <f t="array" ref="Y5">_xll.BDP($G5&amp;" ISIN","CHG_PCT_3M")/100</f>
        <v>#VALUE!</v>
      </c>
      <c r="Z5" s="9" t="e" cm="1">
        <f t="array" ref="Z5">_xll.BDP($G5&amp;" ISIN","CHG_PCT_6M")/100</f>
        <v>#VALUE!</v>
      </c>
      <c r="AA5" s="9" t="e" cm="1">
        <f t="array" ref="AA5">_xll.BDP($G5&amp;" ISIN","CHG_PCT_YTD")/100</f>
        <v>#VALUE!</v>
      </c>
      <c r="AB5" s="9" t="e">
        <f t="shared" si="2"/>
        <v>#VALUE!</v>
      </c>
      <c r="AC5" s="12">
        <f t="shared" ca="1" si="3"/>
        <v>4802.8888888888887</v>
      </c>
      <c r="AD5" s="11" t="str">
        <f>_xll.BDP(AI5,"DS199")</f>
        <v>Government</v>
      </c>
      <c r="AE5" s="13">
        <f>_xll.BDP(AI5,"px_ask")</f>
        <v>99.875</v>
      </c>
      <c r="AF5" s="12">
        <f>IF(F5="USD",O5,(((_xll.BDP(F5&amp;"USD CURNCY","PX_LAST")))*O5))</f>
        <v>200000</v>
      </c>
      <c r="AG5" s="7">
        <f t="shared" si="4"/>
        <v>197726</v>
      </c>
      <c r="AH5" s="7">
        <f t="shared" si="5"/>
        <v>199750</v>
      </c>
      <c r="AI5" s="11" t="str">
        <f t="shared" si="6"/>
        <v>XS3000457666 ISIN</v>
      </c>
      <c r="AJ5" s="11" t="e" cm="1">
        <f t="array" ref="AJ5">VLOOKUP(IF(NOT(_xll.BDP($G5&amp;" CORP",$CA$4)="#N/A N/A"),(_xll.BDP($G5&amp;" CORP",$CA$4)),"-"), '[1]Country Codes'!$A$2:$B$253,2,0)</f>
        <v>#N/A</v>
      </c>
      <c r="AK5" s="11" t="str" cm="1">
        <f t="array" ref="AK5">IF(OR(_xll.BDP($AI5,"EX028")= "#N/A N/A", _xll.BDP($AI5,"EX028")="#N/A FIELD NOT APPLICABLE"), " ", _xll.BDP($AI5,"EX028"))</f>
        <v>FixedIncome</v>
      </c>
      <c r="AL5" s="5" t="str">
        <f>(IF(_xll.BDP($AI5&amp;" ISIN","DZ282")="Y","Single line Bonds Cocos","Single line Bonds ex Cocos"))</f>
        <v>Single line Bonds ex Cocos</v>
      </c>
      <c r="AM5" s="6">
        <f>(IF(_xll.BDP($G5&amp;" ISIN","SP153")="#n/a n/a"," ",_xll.BDP($G5&amp;" ISIN","SP153")))</f>
        <v>490.30795285653676</v>
      </c>
      <c r="AN5" s="14">
        <f t="shared" ca="1" si="7"/>
        <v>45755</v>
      </c>
      <c r="AO5" s="7">
        <f>(((_xll.BDP(AI5,"DS032"))/360)*I5)*O5</f>
        <v>2596.6666666666661</v>
      </c>
      <c r="AP5" s="7">
        <f>IF(F5="USD",AO5,(((_xll.BDP(F5&amp;"USD CURNCY","PX_LAST")))*AO5))</f>
        <v>2596.6666666666661</v>
      </c>
      <c r="AQ5" s="9" t="e">
        <f>S5/$S$130</f>
        <v>#DIV/0!</v>
      </c>
      <c r="AR5" s="7">
        <f t="shared" si="8"/>
        <v>199750</v>
      </c>
      <c r="AS5" s="13">
        <f>IF((TEXT(_xll.BDP(AI5,"MATURITY"),"DD/MM/YYYY")="#N/A Field Not Applicable"),"Perp",_xll.BDP(AI5,"DS252"))</f>
        <v>29.850787132101299</v>
      </c>
      <c r="AT5" s="5" t="str">
        <f>(IF(_xll.BDP($AI5&amp;" ISIN","DT247")="Y","Yes","No"))</f>
        <v>No</v>
      </c>
      <c r="AU5" s="5" t="str">
        <f>PROPER(IF(OR(_xll.BDP($AI5,"CPN_TYP")="#n/a N/A",_xll.BDP($AI5,"CPN_TYP")= "#N/A FIELD NOT APPLICABLE"), " ", _xll.BDP($AI5,"CPN_TYP")))</f>
        <v>Variable</v>
      </c>
      <c r="BG5" s="27" t="str">
        <f t="shared" si="9"/>
        <v>XS3000457666</v>
      </c>
      <c r="BH5" s="27">
        <v>0.49590000000000001</v>
      </c>
      <c r="BI5" s="28" t="s">
        <v>60</v>
      </c>
      <c r="BJ5" s="36">
        <v>45694</v>
      </c>
      <c r="BK5" s="30">
        <v>1</v>
      </c>
    </row>
    <row r="6" spans="1:63" s="15" customFormat="1" ht="14.45" customHeight="1" x14ac:dyDescent="0.25">
      <c r="A6" s="16" t="s">
        <v>137</v>
      </c>
      <c r="B6" s="16" t="s">
        <v>69</v>
      </c>
      <c r="C6" s="16" t="s">
        <v>70</v>
      </c>
      <c r="D6" s="16" t="s">
        <v>49</v>
      </c>
      <c r="E6" s="11" t="str">
        <f>_xll.BDP(AI6,"ds520")</f>
        <v>Banque Ouest Africaine de Developpement</v>
      </c>
      <c r="F6" s="11" t="str">
        <f>_xll.BDP(AI6,"crncy")</f>
        <v>USD</v>
      </c>
      <c r="G6" s="34" t="s">
        <v>66</v>
      </c>
      <c r="H6" s="11" t="str">
        <f>IF(_xll.BDP(AI6,"RTG_MOODY")="#N/A N/A","N/A",_xll.BDP(AI6,"RTG_MOODY"))&amp;","&amp;IF(_xll.BDP(AI6,"RTG_FITCH")="#N/A N/A","N/A",_xll.BDP(AI6,"RTG_FITCH"))&amp;","&amp;IF(_xll.BDP(AI6,"RTG_SP")="#N/A N/A","N/A",_xll.BDP(AI6,"RTG_SP"))</f>
        <v>Baa3,N/A,N/A</v>
      </c>
      <c r="I6" s="5">
        <f>_xll.BDP(AI6,"cpn")/100</f>
        <v>8.199999999999999E-2</v>
      </c>
      <c r="J6" s="5">
        <f ca="1">_xll.BDP($G6&amp;" isin","YAS_BOND_YLD", "YAS_YLD_FLAG=15", "user_local_trade_date",AN6,"Yas_bond_px",$Q6)/100</f>
        <v>8.2272800000000007E-2</v>
      </c>
      <c r="K6" s="11" t="str">
        <f>_xll.BDP(AI6,"PAYMENT_RANK")</f>
        <v>Subordinated</v>
      </c>
      <c r="L6" s="11" t="str">
        <f>IF((TEXT(_xll.BDP(AI6,"MATURITY"),"DD/MM/YYYY")="#N/A Field Not Applicable"),"Perp",TEXT(_xll.BDP(AI6,"MATURITY"),"DD/MM/YYYY"))</f>
        <v>13/02/2055</v>
      </c>
      <c r="M6" s="6">
        <f>(IF(_xll.BDP($AI6&amp;" ISIN","DU003")="#n/a n/a"," ",_xll.BDP($AI6&amp;" ISIN","DU003")))</f>
        <v>4.0419339601692332</v>
      </c>
      <c r="N6" s="11" t="str">
        <f>IF(_xll.BDP(AI6,"CALLABLE")="Y",_xll.BDP(AI6,"NXT_CALL_DT")," ")</f>
        <v>13/02/2030</v>
      </c>
      <c r="O6" s="35">
        <v>300000</v>
      </c>
      <c r="P6" s="34">
        <v>98.798000000000002</v>
      </c>
      <c r="Q6" s="13">
        <f>_xll.BDP(AI6,"px_bid")</f>
        <v>99.875</v>
      </c>
      <c r="R6" s="7">
        <f>IF(F6="USD",AG6,(((_xll.BDP(F6&amp;"USD CURNCY","PX_LAST")))*AG6))</f>
        <v>296394</v>
      </c>
      <c r="S6" s="7">
        <f>IF(F6="USD",AH6,(((_xll.BDP(F6&amp;"USD CURNCY","PX_LAST")))*AH6))+AP6</f>
        <v>303520</v>
      </c>
      <c r="T6" s="8">
        <f t="shared" si="0"/>
        <v>3230.9999999999945</v>
      </c>
      <c r="U6" s="9">
        <f t="shared" si="1"/>
        <v>1.0901030385230452E-2</v>
      </c>
      <c r="V6" s="9" cm="1">
        <f t="array" ref="V6">IFERROR(_xll.BDP($G6&amp;" ISIN","CHG_PCT_1D")/100,"")</f>
        <v>0</v>
      </c>
      <c r="W6" s="9" t="str" cm="1">
        <f t="array" ref="W6">IFERROR(_xll.BDP($G6&amp;" ISIN","CHG_PCT_5D")/100,"")</f>
        <v/>
      </c>
      <c r="X6" s="9" t="e" cm="1">
        <f t="array" ref="X6">_xll.BDP($G6&amp;" ISIN","CHG_PCT_1M")/100</f>
        <v>#VALUE!</v>
      </c>
      <c r="Y6" s="9" t="e" cm="1">
        <f t="array" ref="Y6">_xll.BDP($G6&amp;" ISIN","CHG_PCT_3M")/100</f>
        <v>#VALUE!</v>
      </c>
      <c r="Z6" s="9" t="e" cm="1">
        <f t="array" ref="Z6">_xll.BDP($G6&amp;" ISIN","CHG_PCT_6M")/100</f>
        <v>#VALUE!</v>
      </c>
      <c r="AA6" s="9" t="e" cm="1">
        <f t="array" ref="AA6">_xll.BDP($G6&amp;" ISIN","CHG_PCT_YTD")/100</f>
        <v>#VALUE!</v>
      </c>
      <c r="AB6" s="9" t="e">
        <f t="shared" si="2"/>
        <v>#VALUE!</v>
      </c>
      <c r="AC6" s="12">
        <f t="shared" ca="1" si="3"/>
        <v>7399.3333333333267</v>
      </c>
      <c r="AD6" s="11" t="str">
        <f>_xll.BDP(AI6,"DS199")</f>
        <v>Government</v>
      </c>
      <c r="AE6" s="13">
        <f>_xll.BDP(AI6,"px_ask")</f>
        <v>99.875</v>
      </c>
      <c r="AF6" s="12">
        <f>IF(F6="USD",O6,(((_xll.BDP(F6&amp;"USD CURNCY","PX_LAST")))*O6))</f>
        <v>300000</v>
      </c>
      <c r="AG6" s="7">
        <f t="shared" si="4"/>
        <v>296394</v>
      </c>
      <c r="AH6" s="7">
        <f t="shared" si="5"/>
        <v>299625</v>
      </c>
      <c r="AI6" s="11" t="str">
        <f t="shared" si="6"/>
        <v>XS3000457666 ISIN</v>
      </c>
      <c r="AJ6" s="11" t="e" cm="1">
        <f t="array" ref="AJ6">VLOOKUP(IF(NOT(_xll.BDP($G6&amp;" CORP",$CA$4)="#N/A N/A"),(_xll.BDP($G6&amp;" CORP",$CA$4)),"-"), '[1]Country Codes'!$A$2:$B$253,2,0)</f>
        <v>#N/A</v>
      </c>
      <c r="AK6" s="11" t="str" cm="1">
        <f t="array" ref="AK6">IF(OR(_xll.BDP($AI6,"EX028")= "#N/A N/A", _xll.BDP($AI6,"EX028")="#N/A FIELD NOT APPLICABLE"), " ", _xll.BDP($AI6,"EX028"))</f>
        <v>FixedIncome</v>
      </c>
      <c r="AL6" s="5" t="str">
        <f>(IF(_xll.BDP($AI6&amp;" ISIN","DZ282")="Y","Single line Bonds Cocos","Single line Bonds ex Cocos"))</f>
        <v>Single line Bonds ex Cocos</v>
      </c>
      <c r="AM6" s="6">
        <f>(IF(_xll.BDP($G6&amp;" ISIN","SP153")="#n/a n/a"," ",_xll.BDP($G6&amp;" ISIN","SP153")))</f>
        <v>490.30795285653676</v>
      </c>
      <c r="AN6" s="14">
        <f t="shared" ca="1" si="7"/>
        <v>45755</v>
      </c>
      <c r="AO6" s="7">
        <f>(((_xll.BDP(AI6,"DS032"))/360)*I6)*O6</f>
        <v>3894.9999999999995</v>
      </c>
      <c r="AP6" s="7">
        <f>IF(F6="USD",AO6,(((_xll.BDP(F6&amp;"USD CURNCY","PX_LAST")))*AO6))</f>
        <v>3894.9999999999995</v>
      </c>
      <c r="AQ6" s="9" t="e">
        <f>S6/$S$141</f>
        <v>#DIV/0!</v>
      </c>
      <c r="AR6" s="7">
        <f t="shared" si="8"/>
        <v>299625</v>
      </c>
      <c r="AS6" s="13">
        <f>IF((TEXT(_xll.BDP(AI6,"MATURITY"),"DD/MM/YYYY")="#N/A Field Not Applicable"),"Perp",_xll.BDP(AI6,"DS252"))</f>
        <v>29.850787132101299</v>
      </c>
      <c r="AT6" s="5" t="str">
        <f>(IF(_xll.BDP($AI6&amp;" ISIN","DT247")="Y","Yes","No"))</f>
        <v>No</v>
      </c>
      <c r="AU6" s="5" t="str">
        <f>PROPER(IF(OR(_xll.BDP($AI6,"CPN_TYP")="#n/a N/A",_xll.BDP($AI6,"CPN_TYP")= "#N/A FIELD NOT APPLICABLE"), " ", _xll.BDP($AI6,"CPN_TYP")))</f>
        <v>Variable</v>
      </c>
      <c r="BG6" s="27" t="str">
        <f t="shared" si="9"/>
        <v>XS3000457666</v>
      </c>
      <c r="BH6" s="27">
        <v>0.72</v>
      </c>
      <c r="BI6" s="28">
        <v>4</v>
      </c>
      <c r="BJ6" s="36">
        <v>45694</v>
      </c>
      <c r="BK6" s="30">
        <v>1</v>
      </c>
    </row>
    <row r="7" spans="1:63" s="15" customFormat="1" ht="14.45" customHeight="1" x14ac:dyDescent="0.25">
      <c r="A7" s="16" t="s">
        <v>137</v>
      </c>
      <c r="B7" s="16" t="s">
        <v>82</v>
      </c>
      <c r="C7" s="16">
        <v>2620061.0010000002</v>
      </c>
      <c r="D7" s="16" t="s">
        <v>49</v>
      </c>
      <c r="E7" s="11" t="str">
        <f>_xll.BDP(AI7,"ds520")</f>
        <v>BAT Capital Corp</v>
      </c>
      <c r="F7" s="11" t="str">
        <f>_xll.BDP(AI7,"crncy")</f>
        <v>USD</v>
      </c>
      <c r="G7" s="34" t="s">
        <v>83</v>
      </c>
      <c r="H7" s="11" t="str">
        <f>IF(_xll.BDP(AI7,"RTG_MOODY")="#N/A N/A","N/A",_xll.BDP(AI7,"RTG_MOODY"))&amp;","&amp;IF(_xll.BDP(AI7,"RTG_FITCH")="#N/A N/A","N/A",_xll.BDP(AI7,"RTG_FITCH"))&amp;","&amp;IF(_xll.BDP(AI7,"RTG_SP")="#N/A N/A","N/A",_xll.BDP(AI7,"RTG_SP"))</f>
        <v>Baa1,BBB+,BBB+</v>
      </c>
      <c r="I7" s="5">
        <f>_xll.BDP(AI7,"cpn")/100</f>
        <v>7.0789999999999992E-2</v>
      </c>
      <c r="J7" s="5">
        <f ca="1">_xll.BDP($G7&amp;" isin","YAS_BOND_YLD", "YAS_YLD_FLAG=15", "user_local_trade_date",AN7,"Yas_bond_px",$Q7)/100</f>
        <v>6.5432530000000003E-2</v>
      </c>
      <c r="K7" s="11" t="str">
        <f>_xll.BDP(AI7,"PAYMENT_RANK")</f>
        <v>Sr Unsecured</v>
      </c>
      <c r="L7" s="11" t="str">
        <f>IF((TEXT(_xll.BDP(AI7,"MATURITY"),"DD/MM/YYYY")="#N/A Field Not Applicable"),"Perp",TEXT(_xll.BDP(AI7,"MATURITY"),"DD/MM/YYYY"))</f>
        <v>02/08/2043</v>
      </c>
      <c r="M7" s="6">
        <f>(IF(_xll.BDP($AI7&amp;" ISIN","DU003")="#n/a n/a"," ",_xll.BDP($AI7&amp;" ISIN","DU003")))</f>
        <v>10.481587591324223</v>
      </c>
      <c r="N7" s="11" t="str">
        <f>IF(_xll.BDP(AI7,"CALLABLE")="Y",_xll.BDP(AI7,"NXT_CALL_DT")," ")</f>
        <v>02/02/2043</v>
      </c>
      <c r="O7" s="35">
        <v>200000</v>
      </c>
      <c r="P7" s="34">
        <v>108.922</v>
      </c>
      <c r="Q7" s="13">
        <f>_xll.BDP(AI7,"px_bid")</f>
        <v>105.574</v>
      </c>
      <c r="R7" s="7">
        <f>IF(F7="USD",AG7,(((_xll.BDP(F7&amp;"USD CURNCY","PX_LAST")))*AG7))</f>
        <v>217844</v>
      </c>
      <c r="S7" s="7">
        <f>IF(F7="USD",AH7,(((_xll.BDP(F7&amp;"USD CURNCY","PX_LAST")))*AH7))+AP7</f>
        <v>213746.86575342464</v>
      </c>
      <c r="T7" s="8">
        <f t="shared" si="0"/>
        <v>-6695.9999999999982</v>
      </c>
      <c r="U7" s="9">
        <f t="shared" si="1"/>
        <v>-3.0737592038339354E-2</v>
      </c>
      <c r="V7" s="9" cm="1">
        <f t="array" ref="V7">IFERROR(_xll.BDP($G7&amp;" ISIN","CHG_PCT_1D")/100,"")</f>
        <v>-3.717625987259254E-3</v>
      </c>
      <c r="W7" s="9" cm="1">
        <f t="array" ref="W7">IFERROR(_xll.BDP($G7&amp;" ISIN","CHG_PCT_5D")/100,"")</f>
        <v>-3.260451576425373E-2</v>
      </c>
      <c r="X7" s="9" cm="1">
        <f t="array" ref="X7">_xll.BDP($G7&amp;" ISIN","CHG_PCT_1M")/100</f>
        <v>-3.5081181890985462E-2</v>
      </c>
      <c r="Y7" s="9" cm="1">
        <f t="array" ref="Y7">_xll.BDP($G7&amp;" ISIN","CHG_PCT_3M")/100</f>
        <v>-4.8260335191330876E-3</v>
      </c>
      <c r="Z7" s="9" cm="1">
        <f t="array" ref="Z7">_xll.BDP($G7&amp;" ISIN","CHG_PCT_6M")/100</f>
        <v>-6.2291546216865411E-2</v>
      </c>
      <c r="AA7" s="9" cm="1">
        <f t="array" ref="AA7">_xll.BDP($G7&amp;" ISIN","CHG_PCT_YTD")/100</f>
        <v>-2.1274118322208456E-2</v>
      </c>
      <c r="AB7" s="9" t="e">
        <f t="shared" si="2"/>
        <v>#VALUE!</v>
      </c>
      <c r="AC7" s="12">
        <f t="shared" ca="1" si="3"/>
        <v>3686.5333333333328</v>
      </c>
      <c r="AD7" s="11" t="str">
        <f>_xll.BDP(AI7,"DS199")</f>
        <v>Consumer, Non-cyclical</v>
      </c>
      <c r="AE7" s="13">
        <f>_xll.BDP(AI7,"px_ask")</f>
        <v>106.251</v>
      </c>
      <c r="AF7" s="12">
        <f>IF(F7="USD",O7,(((_xll.BDP(F7&amp;"USD CURNCY","PX_LAST")))*O7))</f>
        <v>200000</v>
      </c>
      <c r="AG7" s="7">
        <f t="shared" si="4"/>
        <v>217844</v>
      </c>
      <c r="AH7" s="7">
        <f t="shared" si="5"/>
        <v>211148</v>
      </c>
      <c r="AI7" s="11" t="str">
        <f t="shared" si="6"/>
        <v>US054989AC24 ISIN</v>
      </c>
      <c r="AJ7" s="11" t="e" cm="1">
        <f t="array" ref="AJ7">VLOOKUP(IF(NOT(_xll.BDP($G7&amp;" CORP",$CA$4)="#N/A N/A"),(_xll.BDP($G7&amp;" CORP",$CA$4)),"-"), '[1]Country Codes'!$A$2:$B$253,2,0)</f>
        <v>#N/A</v>
      </c>
      <c r="AK7" s="11" t="str" cm="1">
        <f t="array" ref="AK7">IF(OR(_xll.BDP($AI7,"EX028")= "#N/A N/A", _xll.BDP($AI7,"EX028")="#N/A FIELD NOT APPLICABLE"), " ", _xll.BDP($AI7,"EX028"))</f>
        <v>FixedIncome</v>
      </c>
      <c r="AL7" s="5" t="str">
        <f>(IF(_xll.BDP($AI7&amp;" ISIN","DZ282")="Y","Single line Bonds Cocos","Single line Bonds ex Cocos"))</f>
        <v>Single line Bonds ex Cocos</v>
      </c>
      <c r="AM7" s="6">
        <f>(IF(_xll.BDP($G7&amp;" ISIN","SP153")="#n/a n/a"," ",_xll.BDP($G7&amp;" ISIN","SP153")))</f>
        <v>267.80779677633666</v>
      </c>
      <c r="AN7" s="14">
        <f t="shared" ca="1" si="7"/>
        <v>45755</v>
      </c>
      <c r="AO7" s="7">
        <f>(((_xll.BDP(AI7,"DS032"))/365)*I7)*O7</f>
        <v>2598.8657534246572</v>
      </c>
      <c r="AP7" s="7">
        <f>IF(F7="USD",AO7,(((_xll.BDP(F7&amp;"USD CURNCY","PX_LAST")))*AO7))</f>
        <v>2598.8657534246572</v>
      </c>
      <c r="AQ7" s="9" t="e">
        <f>S7/$S$140</f>
        <v>#DIV/0!</v>
      </c>
      <c r="AR7" s="7">
        <f t="shared" si="8"/>
        <v>211148</v>
      </c>
      <c r="AS7" s="13">
        <f>IF((TEXT(_xll.BDP(AI7,"MATURITY"),"DD/MM/YYYY")="#N/A Field Not Applicable"),"Perp",_xll.BDP(AI7,"DS252"))</f>
        <v>18.316221765913756</v>
      </c>
      <c r="AT7" s="5" t="str">
        <f>(IF(_xll.BDP($AI7&amp;" ISIN","DT247")="Y","Yes","No"))</f>
        <v>No</v>
      </c>
      <c r="AU7" s="5" t="str">
        <f>PROPER(IF(OR(_xll.BDP($AI7,"CPN_TYP")="#n/a N/A",_xll.BDP($AI7,"CPN_TYP")= "#N/A FIELD NOT APPLICABLE"), " ", _xll.BDP($AI7,"CPN_TYP")))</f>
        <v>Fixed</v>
      </c>
      <c r="BG7" s="27" t="str">
        <f t="shared" si="9"/>
        <v>US054989AC24</v>
      </c>
      <c r="BH7" s="27">
        <v>0.72</v>
      </c>
      <c r="BI7" s="28">
        <v>3</v>
      </c>
      <c r="BJ7" s="36">
        <v>45491</v>
      </c>
      <c r="BK7" s="30">
        <v>1</v>
      </c>
    </row>
    <row r="8" spans="1:63" s="15" customFormat="1" ht="14.45" customHeight="1" x14ac:dyDescent="0.25">
      <c r="A8" s="16" t="s">
        <v>137</v>
      </c>
      <c r="B8" s="16" t="s">
        <v>79</v>
      </c>
      <c r="C8" s="16" t="s">
        <v>80</v>
      </c>
      <c r="D8" s="16" t="s">
        <v>49</v>
      </c>
      <c r="E8" s="11" t="str">
        <f>_xll.BDP(AI8,"ds520")</f>
        <v>Finance Department Government of Sharjah</v>
      </c>
      <c r="F8" s="11" t="str">
        <f>_xll.BDP(AI8,"crncy")</f>
        <v>USD</v>
      </c>
      <c r="G8" s="34" t="s">
        <v>81</v>
      </c>
      <c r="H8" s="11" t="str">
        <f>IF(_xll.BDP(AI8,"RTG_MOODY")="#N/A N/A","N/A",_xll.BDP(AI8,"RTG_MOODY"))&amp;","&amp;IF(_xll.BDP(AI8,"RTG_FITCH")="#N/A N/A","N/A",_xll.BDP(AI8,"RTG_FITCH"))&amp;","&amp;IF(_xll.BDP(AI8,"RTG_SP")="#N/A N/A","N/A",_xll.BDP(AI8,"RTG_SP"))</f>
        <v>Ba1,N/A,BBB-</v>
      </c>
      <c r="I8" s="5">
        <f>_xll.BDP(AI8,"cpn")/100</f>
        <v>4.3749999999999997E-2</v>
      </c>
      <c r="J8" s="5">
        <f ca="1">_xll.BDP($G8&amp;" isin","YAS_BOND_YLD", "YAS_YLD_FLAG=15", "user_local_trade_date",AN8,"Yas_bond_px",$Q8)/100</f>
        <v>7.0673819999999998E-2</v>
      </c>
      <c r="K8" s="11" t="str">
        <f>_xll.BDP(AI8,"PAYMENT_RANK")</f>
        <v>Sr Unsecured</v>
      </c>
      <c r="L8" s="11" t="str">
        <f>IF((TEXT(_xll.BDP(AI8,"MATURITY"),"DD/MM/YYYY")="#N/A Field Not Applicable"),"Perp",TEXT(_xll.BDP(AI8,"MATURITY"),"DD/MM/YYYY"))</f>
        <v>10/03/2051</v>
      </c>
      <c r="M8" s="6">
        <f>(IF(_xll.BDP($AI8&amp;" ISIN","DU003")="#n/a n/a"," ",_xll.BDP($AI8&amp;" ISIN","DU003")))</f>
        <v>13.469802300472971</v>
      </c>
      <c r="N8" s="11" t="str">
        <f>IF(_xll.BDP(AI8,"CALLABLE")="Y",_xll.BDP(AI8,"NXT_CALL_DT")," ")</f>
        <v xml:space="preserve"> </v>
      </c>
      <c r="O8" s="35">
        <v>200000</v>
      </c>
      <c r="P8" s="34">
        <v>69.75</v>
      </c>
      <c r="Q8" s="13">
        <f>_xll.BDP(AI8,"px_bid")</f>
        <v>68.195999999999998</v>
      </c>
      <c r="R8" s="7">
        <f>IF(F8="USD",AG8,(((_xll.BDP(F8&amp;"USD CURNCY","PX_LAST")))*AG8))</f>
        <v>139500</v>
      </c>
      <c r="S8" s="7">
        <f>IF(F8="USD",AH8,(((_xll.BDP(F8&amp;"USD CURNCY","PX_LAST")))*AH8))+AP8</f>
        <v>137121.16666666666</v>
      </c>
      <c r="T8" s="8">
        <f t="shared" si="0"/>
        <v>-3108.0000000000041</v>
      </c>
      <c r="U8" s="9">
        <f t="shared" si="1"/>
        <v>-2.2279569892473147E-2</v>
      </c>
      <c r="V8" s="9" cm="1">
        <f t="array" ref="V8">IFERROR(_xll.BDP($G8&amp;" ISIN","CHG_PCT_1D")/100,"")</f>
        <v>-5.6731019711134308E-3</v>
      </c>
      <c r="W8" s="9" cm="1">
        <f t="array" ref="W8">IFERROR(_xll.BDP($G8&amp;" ISIN","CHG_PCT_5D")/100,"")</f>
        <v>-1.3907427341227041E-2</v>
      </c>
      <c r="X8" s="9" cm="1">
        <f t="array" ref="X8">_xll.BDP($G8&amp;" ISIN","CHG_PCT_1M")/100</f>
        <v>-1.2731348430854059E-2</v>
      </c>
      <c r="Y8" s="9" cm="1">
        <f t="array" ref="Y8">_xll.BDP($G8&amp;" ISIN","CHG_PCT_3M")/100</f>
        <v>1.5759905381431141E-2</v>
      </c>
      <c r="Z8" s="9" cm="1">
        <f t="array" ref="Z8">_xll.BDP($G8&amp;" ISIN","CHG_PCT_6M")/100</f>
        <v>-6.2200565087424782E-2</v>
      </c>
      <c r="AA8" s="9" cm="1">
        <f t="array" ref="AA8">_xll.BDP($G8&amp;" ISIN","CHG_PCT_YTD")/100</f>
        <v>-2.3812980978655651E-3</v>
      </c>
      <c r="AB8" s="9" t="e">
        <f t="shared" si="2"/>
        <v>#VALUE!</v>
      </c>
      <c r="AC8" s="12">
        <f t="shared" ca="1" si="3"/>
        <v>4742.6944444444398</v>
      </c>
      <c r="AD8" s="11" t="str">
        <f>_xll.BDP(AI8,"DS199")</f>
        <v>Government</v>
      </c>
      <c r="AE8" s="13">
        <f>_xll.BDP(AI8,"px_ask")</f>
        <v>69.215999999999994</v>
      </c>
      <c r="AF8" s="12">
        <f>IF(F8="USD",O8,(((_xll.BDP(F8&amp;"USD CURNCY","PX_LAST")))*O8))</f>
        <v>200000</v>
      </c>
      <c r="AG8" s="7">
        <f t="shared" si="4"/>
        <v>139500</v>
      </c>
      <c r="AH8" s="7">
        <f t="shared" si="5"/>
        <v>136392</v>
      </c>
      <c r="AI8" s="11" t="str">
        <f t="shared" si="6"/>
        <v>XS2302929901 ISIN</v>
      </c>
      <c r="AJ8" s="11" t="e" cm="1">
        <f t="array" ref="AJ8">VLOOKUP(IF(NOT(_xll.BDP($G8&amp;" CORP",$CA$4)="#N/A N/A"),(_xll.BDP($G8&amp;" CORP",$CA$4)),"-"), '[1]Country Codes'!$A$2:$B$253,2,0)</f>
        <v>#N/A</v>
      </c>
      <c r="AK8" s="11" t="str" cm="1">
        <f t="array" ref="AK8">IF(OR(_xll.BDP($AI8,"EX028")= "#N/A N/A", _xll.BDP($AI8,"EX028")="#N/A FIELD NOT APPLICABLE"), " ", _xll.BDP($AI8,"EX028"))</f>
        <v>FixedIncome</v>
      </c>
      <c r="AL8" s="5" t="str">
        <f>(IF(_xll.BDP($AI8&amp;" ISIN","DZ282")="Y","Single line Bonds Cocos","Single line Bonds ex Cocos"))</f>
        <v>Single line Bonds ex Cocos</v>
      </c>
      <c r="AM8" s="6">
        <f>(IF(_xll.BDP($G8&amp;" ISIN","SP153")="#n/a n/a"," ",_xll.BDP($G8&amp;" ISIN","SP153")))</f>
        <v>319.38045191555801</v>
      </c>
      <c r="AN8" s="14">
        <f t="shared" ca="1" si="7"/>
        <v>45755</v>
      </c>
      <c r="AO8" s="7">
        <f>(((_xll.BDP(AI8,"DS032"))/360)*I8)*O8</f>
        <v>729.16666666666663</v>
      </c>
      <c r="AP8" s="7">
        <f>IF(F8="USD",AO8,(((_xll.BDP(F8&amp;"USD CURNCY","PX_LAST")))*AO8))</f>
        <v>729.16666666666663</v>
      </c>
      <c r="AQ8" s="9" t="e">
        <f>S8/$S$137</f>
        <v>#DIV/0!</v>
      </c>
      <c r="AR8" s="7">
        <f t="shared" si="8"/>
        <v>136392</v>
      </c>
      <c r="AS8" s="13">
        <f>IF((TEXT(_xll.BDP(AI8,"MATURITY"),"DD/MM/YYYY")="#N/A Field Not Applicable"),"Perp",_xll.BDP(AI8,"DS252"))</f>
        <v>25.919233401779604</v>
      </c>
      <c r="AT8" s="5" t="str">
        <f>(IF(_xll.BDP($AI8&amp;" ISIN","DT247")="Y","Yes","No"))</f>
        <v>No</v>
      </c>
      <c r="AU8" s="5" t="str">
        <f>PROPER(IF(OR(_xll.BDP($AI8,"CPN_TYP")="#n/a N/A",_xll.BDP($AI8,"CPN_TYP")= "#N/A FIELD NOT APPLICABLE"), " ", _xll.BDP($AI8,"CPN_TYP")))</f>
        <v>Fixed</v>
      </c>
      <c r="BG8" s="27" t="str">
        <f t="shared" si="9"/>
        <v>XS2302929901</v>
      </c>
      <c r="BH8" s="27">
        <v>0.62</v>
      </c>
      <c r="BI8" s="28">
        <v>4</v>
      </c>
      <c r="BJ8" s="36">
        <v>45432</v>
      </c>
      <c r="BK8" s="30">
        <v>1</v>
      </c>
    </row>
    <row r="9" spans="1:63" s="15" customFormat="1" ht="14.45" customHeight="1" x14ac:dyDescent="0.25">
      <c r="A9" s="16" t="s">
        <v>137</v>
      </c>
      <c r="B9" s="16" t="s">
        <v>69</v>
      </c>
      <c r="C9" s="16" t="s">
        <v>70</v>
      </c>
      <c r="D9" s="16" t="s">
        <v>49</v>
      </c>
      <c r="E9" s="11" t="str">
        <f>_xll.BDP(AI9,"ds520")</f>
        <v>Freeport Indonesia PT</v>
      </c>
      <c r="F9" s="11" t="str">
        <f>_xll.BDP(AI9,"crncy")</f>
        <v>USD</v>
      </c>
      <c r="G9" s="34" t="s">
        <v>71</v>
      </c>
      <c r="H9" s="11" t="str">
        <f>IF(_xll.BDP(AI9,"RTG_MOODY")="#N/A N/A","N/A",_xll.BDP(AI9,"RTG_MOODY"))&amp;","&amp;IF(_xll.BDP(AI9,"RTG_FITCH")="#N/A N/A","N/A",_xll.BDP(AI9,"RTG_FITCH"))&amp;","&amp;IF(_xll.BDP(AI9,"RTG_SP")="#N/A N/A","N/A",_xll.BDP(AI9,"RTG_SP"))</f>
        <v>Baa3,BBB,N/A</v>
      </c>
      <c r="I9" s="5">
        <f>_xll.BDP(AI9,"cpn")/100</f>
        <v>6.2E-2</v>
      </c>
      <c r="J9" s="5">
        <f ca="1">_xll.BDP($G9&amp;" isin","YAS_BOND_YLD", "YAS_YLD_FLAG=15", "user_local_trade_date",AN9,"Yas_bond_px",$Q9)/100</f>
        <v>6.7867469999999999E-2</v>
      </c>
      <c r="K9" s="11" t="str">
        <f>_xll.BDP(AI9,"PAYMENT_RANK")</f>
        <v>Sr Unsecured</v>
      </c>
      <c r="L9" s="11" t="str">
        <f>IF((TEXT(_xll.BDP(AI9,"MATURITY"),"DD/MM/YYYY")="#N/A Field Not Applicable"),"Perp",TEXT(_xll.BDP(AI9,"MATURITY"),"DD/MM/YYYY"))</f>
        <v>14/04/2052</v>
      </c>
      <c r="M9" s="6">
        <f>(IF(_xll.BDP($AI9&amp;" ISIN","DU003")="#n/a n/a"," ",_xll.BDP($AI9&amp;" ISIN","DU003")))</f>
        <v>12.57257546550389</v>
      </c>
      <c r="N9" s="11" t="str">
        <f>IF(_xll.BDP(AI9,"CALLABLE")="Y",_xll.BDP(AI9,"NXT_CALL_DT")," ")</f>
        <v>14/10/2051</v>
      </c>
      <c r="O9" s="35">
        <v>300000</v>
      </c>
      <c r="P9" s="34">
        <v>99.3</v>
      </c>
      <c r="Q9" s="13">
        <f>_xll.BDP(AI9,"px_bid")</f>
        <v>92.778000000000006</v>
      </c>
      <c r="R9" s="7">
        <f>IF(F9="USD",AG9,(((_xll.BDP(F9&amp;"USD CURNCY","PX_LAST")))*AG9))</f>
        <v>297900</v>
      </c>
      <c r="S9" s="7">
        <f>IF(F9="USD",AH9,(((_xll.BDP(F9&amp;"USD CURNCY","PX_LAST")))*AH9))+AP9</f>
        <v>287375.66666666669</v>
      </c>
      <c r="T9" s="8">
        <f t="shared" si="0"/>
        <v>-19565.999999999975</v>
      </c>
      <c r="U9" s="9">
        <f t="shared" si="1"/>
        <v>-6.5679758308157019E-2</v>
      </c>
      <c r="V9" s="9" cm="1">
        <f t="array" ref="V9">IFERROR(_xll.BDP($G9&amp;" ISIN","CHG_PCT_1D")/100,"")</f>
        <v>-4.0064944551090687E-3</v>
      </c>
      <c r="W9" s="9" cm="1">
        <f t="array" ref="W9">IFERROR(_xll.BDP($G9&amp;" ISIN","CHG_PCT_5D")/100,"")</f>
        <v>-4.2173114154485783E-2</v>
      </c>
      <c r="X9" s="9" cm="1">
        <f t="array" ref="X9">_xll.BDP($G9&amp;" ISIN","CHG_PCT_1M")/100</f>
        <v>-6.5229341973745025E-2</v>
      </c>
      <c r="Y9" s="9" cm="1">
        <f t="array" ref="Y9">_xll.BDP($G9&amp;" ISIN","CHG_PCT_3M")/100</f>
        <v>-3.8293374006370125E-2</v>
      </c>
      <c r="Z9" s="9" cm="1">
        <f t="array" ref="Z9">_xll.BDP($G9&amp;" ISIN","CHG_PCT_6M")/100</f>
        <v>-0.1083326561458824</v>
      </c>
      <c r="AA9" s="9" cm="1">
        <f t="array" ref="AA9">_xll.BDP($G9&amp;" ISIN","CHG_PCT_YTD")/100</f>
        <v>-5.8040888482394699E-2</v>
      </c>
      <c r="AB9" s="9" t="e">
        <f t="shared" si="2"/>
        <v>#VALUE!</v>
      </c>
      <c r="AC9" s="12">
        <f t="shared" ca="1" si="3"/>
        <v>-4427.6666666666406</v>
      </c>
      <c r="AD9" s="11" t="str">
        <f>_xll.BDP(AI9,"DS199")</f>
        <v>Basic Materials</v>
      </c>
      <c r="AE9" s="13">
        <f>_xll.BDP(AI9,"px_ask")</f>
        <v>93.769000000000005</v>
      </c>
      <c r="AF9" s="12">
        <f>IF(F9="USD",O9,(((_xll.BDP(F9&amp;"USD CURNCY","PX_LAST")))*O9))</f>
        <v>300000</v>
      </c>
      <c r="AG9" s="7">
        <f t="shared" si="4"/>
        <v>297900</v>
      </c>
      <c r="AH9" s="7">
        <f t="shared" si="5"/>
        <v>278334</v>
      </c>
      <c r="AI9" s="11" t="str">
        <f t="shared" si="6"/>
        <v>USY7141BAC73 ISIN</v>
      </c>
      <c r="AJ9" s="11" t="e" cm="1">
        <f t="array" ref="AJ9">VLOOKUP(IF(NOT(_xll.BDP($G9&amp;" CORP",$CA$4)="#N/A N/A"),(_xll.BDP($G9&amp;" CORP",$CA$4)),"-"), '[1]Country Codes'!$A$2:$B$253,2,0)</f>
        <v>#N/A</v>
      </c>
      <c r="AK9" s="11" t="str" cm="1">
        <f t="array" ref="AK9">IF(OR(_xll.BDP($AI9,"EX028")= "#N/A N/A", _xll.BDP($AI9,"EX028")="#N/A FIELD NOT APPLICABLE"), " ", _xll.BDP($AI9,"EX028"))</f>
        <v>FixedIncome</v>
      </c>
      <c r="AL9" s="5" t="str">
        <f>(IF(_xll.BDP($AI9&amp;" ISIN","DZ282")="Y","Single line Bonds Cocos","Single line Bonds ex Cocos"))</f>
        <v>Single line Bonds ex Cocos</v>
      </c>
      <c r="AM9" s="6">
        <f>(IF(_xll.BDP($G9&amp;" ISIN","SP153")="#n/a n/a"," ",_xll.BDP($G9&amp;" ISIN","SP153")))</f>
        <v>293.92418296183672</v>
      </c>
      <c r="AN9" s="14">
        <f t="shared" ca="1" si="7"/>
        <v>45755</v>
      </c>
      <c r="AO9" s="7">
        <f>(((_xll.BDP(AI9,"DS032"))/360)*I9)*O9</f>
        <v>9041.6666666666661</v>
      </c>
      <c r="AP9" s="7">
        <f>IF(F9="USD",AO9,(((_xll.BDP(F9&amp;"USD CURNCY","PX_LAST")))*AO9))</f>
        <v>9041.6666666666661</v>
      </c>
      <c r="AQ9" s="9" t="e">
        <f>S9/$S$141</f>
        <v>#DIV/0!</v>
      </c>
      <c r="AR9" s="7">
        <f t="shared" si="8"/>
        <v>278334</v>
      </c>
      <c r="AS9" s="13">
        <f>IF((TEXT(_xll.BDP(AI9,"MATURITY"),"DD/MM/YYYY")="#N/A Field Not Applicable"),"Perp",_xll.BDP(AI9,"DS252"))</f>
        <v>27.017111567419576</v>
      </c>
      <c r="AT9" s="5" t="str">
        <f>(IF(_xll.BDP($AI9&amp;" ISIN","DT247")="Y","Yes","No"))</f>
        <v>No</v>
      </c>
      <c r="AU9" s="5" t="str">
        <f>PROPER(IF(OR(_xll.BDP($AI9,"CPN_TYP")="#n/a N/A",_xll.BDP($AI9,"CPN_TYP")= "#N/A FIELD NOT APPLICABLE"), " ", _xll.BDP($AI9,"CPN_TYP")))</f>
        <v>Fixed</v>
      </c>
      <c r="BG9" s="27" t="str">
        <f t="shared" si="9"/>
        <v>USY7141BAC73</v>
      </c>
      <c r="BH9" s="27">
        <v>0.67</v>
      </c>
      <c r="BI9" s="28" t="s">
        <v>60</v>
      </c>
      <c r="BJ9" s="36">
        <v>45462</v>
      </c>
      <c r="BK9" s="30">
        <v>1</v>
      </c>
    </row>
    <row r="10" spans="1:63" s="15" customFormat="1" ht="14.45" customHeight="1" x14ac:dyDescent="0.25">
      <c r="A10" s="16" t="s">
        <v>137</v>
      </c>
      <c r="B10" s="16" t="s">
        <v>74</v>
      </c>
      <c r="C10" s="16" t="s">
        <v>75</v>
      </c>
      <c r="D10" s="16" t="s">
        <v>49</v>
      </c>
      <c r="E10" s="11" t="str">
        <f>_xll.BDP(AI10,"ds520")</f>
        <v>Freeport Indonesia PT</v>
      </c>
      <c r="F10" s="11" t="str">
        <f>_xll.BDP(AI10,"crncy")</f>
        <v>USD</v>
      </c>
      <c r="G10" s="34" t="s">
        <v>71</v>
      </c>
      <c r="H10" s="11" t="str">
        <f>IF(_xll.BDP(AI10,"RTG_MOODY")="#N/A N/A","N/A",_xll.BDP(AI10,"RTG_MOODY"))&amp;","&amp;IF(_xll.BDP(AI10,"RTG_FITCH")="#N/A N/A","N/A",_xll.BDP(AI10,"RTG_FITCH"))&amp;","&amp;IF(_xll.BDP(AI10,"RTG_SP")="#N/A N/A","N/A",_xll.BDP(AI10,"RTG_SP"))</f>
        <v>Baa3,BBB,N/A</v>
      </c>
      <c r="I10" s="5">
        <f>_xll.BDP(AI10,"cpn")/100</f>
        <v>6.2E-2</v>
      </c>
      <c r="J10" s="5">
        <f ca="1">_xll.BDP($G10&amp;" isin","YAS_BOND_YLD", "YAS_YLD_FLAG=15", "user_local_trade_date",AN10,"Yas_bond_px",$Q10)/100</f>
        <v>6.7867469999999999E-2</v>
      </c>
      <c r="K10" s="11" t="str">
        <f>_xll.BDP(AI10,"PAYMENT_RANK")</f>
        <v>Sr Unsecured</v>
      </c>
      <c r="L10" s="11" t="str">
        <f>IF((TEXT(_xll.BDP(AI10,"MATURITY"),"DD/MM/YYYY")="#N/A Field Not Applicable"),"Perp",TEXT(_xll.BDP(AI10,"MATURITY"),"DD/MM/YYYY"))</f>
        <v>14/04/2052</v>
      </c>
      <c r="M10" s="6">
        <f>(IF(_xll.BDP($AI10&amp;" ISIN","DU003")="#n/a n/a"," ",_xll.BDP($AI10&amp;" ISIN","DU003")))</f>
        <v>12.57257546550389</v>
      </c>
      <c r="N10" s="11" t="str">
        <f>IF(_xll.BDP(AI10,"CALLABLE")="Y",_xll.BDP(AI10,"NXT_CALL_DT")," ")</f>
        <v>14/10/2051</v>
      </c>
      <c r="O10" s="35">
        <v>200000</v>
      </c>
      <c r="P10" s="34">
        <v>99.3</v>
      </c>
      <c r="Q10" s="13">
        <f>_xll.BDP(AI10,"px_bid")</f>
        <v>92.778000000000006</v>
      </c>
      <c r="R10" s="7">
        <f>IF(F10="USD",AG10,(((_xll.BDP(F10&amp;"USD CURNCY","PX_LAST")))*AG10))</f>
        <v>198600</v>
      </c>
      <c r="S10" s="7">
        <f>IF(F10="USD",AH10,(((_xll.BDP(F10&amp;"USD CURNCY","PX_LAST")))*AH10))+AP10</f>
        <v>191501.20547945207</v>
      </c>
      <c r="T10" s="8">
        <f t="shared" si="0"/>
        <v>-13043.999999999984</v>
      </c>
      <c r="U10" s="9">
        <f t="shared" si="1"/>
        <v>-6.5679758308157019E-2</v>
      </c>
      <c r="V10" s="9" cm="1">
        <f t="array" ref="V10">IFERROR(_xll.BDP($G10&amp;" ISIN","CHG_PCT_1D")/100,"")</f>
        <v>-4.0064944551090687E-3</v>
      </c>
      <c r="W10" s="9" cm="1">
        <f t="array" ref="W10">IFERROR(_xll.BDP($G10&amp;" ISIN","CHG_PCT_5D")/100,"")</f>
        <v>-4.2173114154485783E-2</v>
      </c>
      <c r="X10" s="9" cm="1">
        <f t="array" ref="X10">_xll.BDP($G10&amp;" ISIN","CHG_PCT_1M")/100</f>
        <v>-6.5229341973745025E-2</v>
      </c>
      <c r="Y10" s="9" cm="1">
        <f t="array" ref="Y10">_xll.BDP($G10&amp;" ISIN","CHG_PCT_3M")/100</f>
        <v>-3.8293374006370125E-2</v>
      </c>
      <c r="Z10" s="9" cm="1">
        <f t="array" ref="Z10">_xll.BDP($G10&amp;" ISIN","CHG_PCT_6M")/100</f>
        <v>-0.1083326561458824</v>
      </c>
      <c r="AA10" s="9" cm="1">
        <f t="array" ref="AA10">_xll.BDP($G10&amp;" ISIN","CHG_PCT_YTD")/100</f>
        <v>-5.8040888482394699E-2</v>
      </c>
      <c r="AB10" s="9" t="e">
        <f t="shared" si="2"/>
        <v>#VALUE!</v>
      </c>
      <c r="AC10" s="12">
        <f t="shared" ca="1" si="3"/>
        <v>-2951.777777777761</v>
      </c>
      <c r="AD10" s="11" t="str">
        <f>_xll.BDP(AI10,"DS199")</f>
        <v>Basic Materials</v>
      </c>
      <c r="AE10" s="13">
        <f>_xll.BDP(AI10,"px_ask")</f>
        <v>93.769000000000005</v>
      </c>
      <c r="AF10" s="12">
        <f>IF(F10="USD",O10,(((_xll.BDP(F10&amp;"USD CURNCY","PX_LAST")))*O10))</f>
        <v>200000</v>
      </c>
      <c r="AG10" s="7">
        <f t="shared" si="4"/>
        <v>198600</v>
      </c>
      <c r="AH10" s="7">
        <f t="shared" si="5"/>
        <v>185556</v>
      </c>
      <c r="AI10" s="11" t="str">
        <f t="shared" si="6"/>
        <v>USY7141BAC73 ISIN</v>
      </c>
      <c r="AJ10" s="11" t="e" cm="1">
        <f t="array" ref="AJ10">VLOOKUP(IF(NOT(_xll.BDP($G10&amp;" CORP",$CA$4)="#N/A N/A"),(_xll.BDP($G10&amp;" CORP",$CA$4)),"-"), '[1]Country Codes'!$A$2:$B$253,2,0)</f>
        <v>#N/A</v>
      </c>
      <c r="AK10" s="11" t="str" cm="1">
        <f t="array" ref="AK10">IF(OR(_xll.BDP($AI10,"EX028")= "#N/A N/A", _xll.BDP($AI10,"EX028")="#N/A FIELD NOT APPLICABLE"), " ", _xll.BDP($AI10,"EX028"))</f>
        <v>FixedIncome</v>
      </c>
      <c r="AL10" s="5" t="str">
        <f>(IF(_xll.BDP($AI10&amp;" ISIN","DZ282")="Y","Single line Bonds Cocos","Single line Bonds ex Cocos"))</f>
        <v>Single line Bonds ex Cocos</v>
      </c>
      <c r="AM10" s="6">
        <f>(IF(_xll.BDP($G10&amp;" ISIN","SP153")="#n/a n/a"," ",_xll.BDP($G10&amp;" ISIN","SP153")))</f>
        <v>293.92418296183672</v>
      </c>
      <c r="AN10" s="14">
        <f t="shared" ca="1" si="7"/>
        <v>45755</v>
      </c>
      <c r="AO10" s="7">
        <f>(((_xll.BDP(AI10,"DS032"))/365)*I10)*O10</f>
        <v>5945.2054794520545</v>
      </c>
      <c r="AP10" s="7">
        <f>IF(F10="USD",AO10,(((_xll.BDP(F10&amp;"USD CURNCY","PX_LAST")))*AO10))</f>
        <v>5945.2054794520545</v>
      </c>
      <c r="AQ10" s="9" t="e">
        <f>S10/$S$135</f>
        <v>#DIV/0!</v>
      </c>
      <c r="AR10" s="7">
        <f t="shared" si="8"/>
        <v>185556</v>
      </c>
      <c r="AS10" s="13">
        <f>IF((TEXT(_xll.BDP(AI10,"MATURITY"),"DD/MM/YYYY")="#N/A Field Not Applicable"),"Perp",_xll.BDP(AI10,"DS252"))</f>
        <v>27.017111567419576</v>
      </c>
      <c r="AT10" s="5" t="str">
        <f>(IF(_xll.BDP($AI10&amp;" ISIN","DT247")="Y","Yes","No"))</f>
        <v>No</v>
      </c>
      <c r="AU10" s="5" t="str">
        <f>PROPER(IF(OR(_xll.BDP($AI10,"CPN_TYP")="#n/a N/A",_xll.BDP($AI10,"CPN_TYP")= "#N/A FIELD NOT APPLICABLE"), " ", _xll.BDP($AI10,"CPN_TYP")))</f>
        <v>Fixed</v>
      </c>
      <c r="BG10" s="27" t="str">
        <f t="shared" si="9"/>
        <v>USY7141BAC73</v>
      </c>
      <c r="BH10" s="27">
        <v>0.65</v>
      </c>
      <c r="BI10" s="28">
        <v>3</v>
      </c>
      <c r="BJ10" s="36">
        <v>45462</v>
      </c>
      <c r="BK10" s="30">
        <v>1</v>
      </c>
    </row>
    <row r="11" spans="1:63" s="15" customFormat="1" ht="14.45" customHeight="1" x14ac:dyDescent="0.25">
      <c r="A11" s="16" t="s">
        <v>137</v>
      </c>
      <c r="B11" s="16" t="s">
        <v>47</v>
      </c>
      <c r="C11" s="16" t="s">
        <v>48</v>
      </c>
      <c r="D11" s="16" t="s">
        <v>49</v>
      </c>
      <c r="E11" s="11" t="str">
        <f>_xll.BDP(AI11,"ds520")</f>
        <v>Gaci First Investment Co</v>
      </c>
      <c r="F11" s="11" t="str">
        <f>_xll.BDP(AI11,"crncy")</f>
        <v>USD</v>
      </c>
      <c r="G11" s="34" t="s">
        <v>50</v>
      </c>
      <c r="H11" s="11" t="str">
        <f>IF(_xll.BDP(AI11,"RTG_MOODY")="#N/A N/A","N/A",_xll.BDP(AI11,"RTG_MOODY"))&amp;","&amp;IF(_xll.BDP(AI11,"RTG_FITCH")="#N/A N/A","N/A",_xll.BDP(AI11,"RTG_FITCH"))&amp;","&amp;IF(_xll.BDP(AI11,"RTG_SP")="#N/A N/A","N/A",_xll.BDP(AI11,"RTG_SP"))</f>
        <v>Aa3,A+,N/A</v>
      </c>
      <c r="I11" s="5">
        <f>_xll.BDP(AI11,"cpn")/100</f>
        <v>5.1249999999999997E-2</v>
      </c>
      <c r="J11" s="5">
        <f ca="1">_xll.BDP($G11&amp;" isin","YAS_BOND_YLD", "YAS_YLD_FLAG=15", "user_local_trade_date",AN11,"Yas_bond_px",$Q11)/100</f>
        <v>6.4382889999999998E-2</v>
      </c>
      <c r="K11" s="11" t="str">
        <f>_xll.BDP(AI11,"PAYMENT_RANK")</f>
        <v>Sr Unsecured</v>
      </c>
      <c r="L11" s="11" t="str">
        <f>IF((TEXT(_xll.BDP(AI11,"MATURITY"),"DD/MM/YYYY")="#N/A Field Not Applicable"),"Perp",TEXT(_xll.BDP(AI11,"MATURITY"),"DD/MM/YYYY"))</f>
        <v>14/02/2053</v>
      </c>
      <c r="M11" s="6">
        <f>(IF(_xll.BDP($AI11&amp;" ISIN","DU003")="#n/a n/a"," ",_xll.BDP($AI11&amp;" ISIN","DU003")))</f>
        <v>13.799560803435549</v>
      </c>
      <c r="N11" s="11" t="str">
        <f>IF(_xll.BDP(AI11,"CALLABLE")="Y",_xll.BDP(AI11,"NXT_CALL_DT")," ")</f>
        <v>14/08/2052</v>
      </c>
      <c r="O11" s="35">
        <v>150000</v>
      </c>
      <c r="P11" s="34">
        <v>84.95</v>
      </c>
      <c r="Q11" s="13">
        <f>_xll.BDP(AI11,"px_bid")</f>
        <v>83.087000000000003</v>
      </c>
      <c r="R11" s="7">
        <f>IF(F11="USD",AG11,(((_xll.BDP(F11&amp;"USD CURNCY","PX_LAST")))*AG11))</f>
        <v>127425</v>
      </c>
      <c r="S11" s="7">
        <f>IF(F11="USD",AH11,(((_xll.BDP(F11&amp;"USD CURNCY","PX_LAST")))*AH11))+AP11</f>
        <v>125826.33333333333</v>
      </c>
      <c r="T11" s="8">
        <f t="shared" si="0"/>
        <v>-2794.4999999999995</v>
      </c>
      <c r="U11" s="9">
        <f t="shared" si="1"/>
        <v>-2.1930547380812238E-2</v>
      </c>
      <c r="V11" s="9" cm="1">
        <f t="array" ref="V11">IFERROR(_xll.BDP($G11&amp;" ISIN","CHG_PCT_1D")/100,"")</f>
        <v>-2.6002824364226376E-2</v>
      </c>
      <c r="W11" s="9" cm="1">
        <f t="array" ref="W11">IFERROR(_xll.BDP($G11&amp;" ISIN","CHG_PCT_5D")/100,"")</f>
        <v>-2.7569009915987926E-2</v>
      </c>
      <c r="X11" s="9" cm="1">
        <f t="array" ref="X11">_xll.BDP($G11&amp;" ISIN","CHG_PCT_1M")/100</f>
        <v>-3.5414186479270533E-2</v>
      </c>
      <c r="Y11" s="9" cm="1">
        <f t="array" ref="Y11">_xll.BDP($G11&amp;" ISIN","CHG_PCT_3M")/100</f>
        <v>1.6021621884853756E-2</v>
      </c>
      <c r="Z11" s="9" cm="1">
        <f t="array" ref="Z11">_xll.BDP($G11&amp;" ISIN","CHG_PCT_6M")/100</f>
        <v>-5.6525917133005484E-2</v>
      </c>
      <c r="AA11" s="9" cm="1">
        <f t="array" ref="AA11">_xll.BDP($G11&amp;" ISIN","CHG_PCT_YTD")/100</f>
        <v>-2.7245677138726938E-3</v>
      </c>
      <c r="AB11" s="9" t="e">
        <f t="shared" si="2"/>
        <v>#VALUE!</v>
      </c>
      <c r="AC11" s="12">
        <f t="shared" ca="1" si="3"/>
        <v>6622.6875000000009</v>
      </c>
      <c r="AD11" s="11" t="str">
        <f>_xll.BDP(AI11,"DS199")</f>
        <v>Financial</v>
      </c>
      <c r="AE11" s="13">
        <f>_xll.BDP(AI11,"px_ask")</f>
        <v>83.822999999999993</v>
      </c>
      <c r="AF11" s="12">
        <f>IF(F11="USD",O11,(((_xll.BDP(F11&amp;"USD CURNCY","PX_LAST")))*O11))</f>
        <v>150000</v>
      </c>
      <c r="AG11" s="7">
        <f t="shared" si="4"/>
        <v>127425</v>
      </c>
      <c r="AH11" s="7">
        <f t="shared" si="5"/>
        <v>124630.5</v>
      </c>
      <c r="AI11" s="11" t="str">
        <f t="shared" si="6"/>
        <v>XS2585988145 ISIN</v>
      </c>
      <c r="AJ11" s="11" t="e" cm="1">
        <f t="array" ref="AJ11">VLOOKUP(IF(NOT(_xll.BDP($G11&amp;" CORP",$CA$4)="#N/A N/A"),(_xll.BDP($G11&amp;" CORP",$CA$4)),"-"), '[1]Country Codes'!$A$2:$B$253,2,0)</f>
        <v>#N/A</v>
      </c>
      <c r="AK11" s="11" t="str" cm="1">
        <f t="array" ref="AK11">IF(OR(_xll.BDP($AI11,"EX028")= "#N/A N/A", _xll.BDP($AI11,"EX028")="#N/A FIELD NOT APPLICABLE"), " ", _xll.BDP($AI11,"EX028"))</f>
        <v>FixedIncome</v>
      </c>
      <c r="AL11" s="5" t="str">
        <f>(IF(_xll.BDP($AI11&amp;" ISIN","DZ282")="Y","Single line Bonds Cocos","Single line Bonds ex Cocos"))</f>
        <v>Single line Bonds ex Cocos</v>
      </c>
      <c r="AM11" s="6">
        <f>(IF(_xll.BDP($G11&amp;" ISIN","SP153")="#n/a n/a"," ",_xll.BDP($G11&amp;" ISIN","SP153")))</f>
        <v>260.63639782886025</v>
      </c>
      <c r="AN11" s="14">
        <f t="shared" ca="1" si="7"/>
        <v>45755</v>
      </c>
      <c r="AO11" s="7">
        <f>(((_xll.BDP(AI11,"DS032"))/360)*I11)*O11</f>
        <v>1195.8333333333335</v>
      </c>
      <c r="AP11" s="7">
        <f>IF(F11="USD",AO11,(((_xll.BDP(F11&amp;"USD CURNCY","PX_LAST")))*AO11))</f>
        <v>1195.8333333333335</v>
      </c>
      <c r="AQ11" s="9" t="e">
        <f>S11/$S$136</f>
        <v>#DIV/0!</v>
      </c>
      <c r="AR11" s="7">
        <f t="shared" si="8"/>
        <v>124630.5</v>
      </c>
      <c r="AS11" s="13">
        <f>IF((TEXT(_xll.BDP(AI11,"MATURITY"),"DD/MM/YYYY")="#N/A Field Not Applicable"),"Perp",_xll.BDP(AI11,"DS252"))</f>
        <v>27.854893908281998</v>
      </c>
      <c r="AT11" s="5" t="str">
        <f>(IF(_xll.BDP($AI11&amp;" ISIN","DT247")="Y","Yes","No"))</f>
        <v>No</v>
      </c>
      <c r="AU11" s="5" t="str">
        <f>PROPER(IF(OR(_xll.BDP($AI11,"CPN_TYP")="#n/a N/A",_xll.BDP($AI11,"CPN_TYP")= "#N/A FIELD NOT APPLICABLE"), " ", _xll.BDP($AI11,"CPN_TYP")))</f>
        <v>Fixed</v>
      </c>
      <c r="BG11" s="27" t="str">
        <f t="shared" si="9"/>
        <v>XS2585988145</v>
      </c>
      <c r="BH11" s="27">
        <v>0.82</v>
      </c>
      <c r="BI11" s="28">
        <v>3</v>
      </c>
      <c r="BJ11" s="36">
        <v>45314</v>
      </c>
      <c r="BK11" s="30">
        <v>1</v>
      </c>
    </row>
    <row r="12" spans="1:63" s="15" customFormat="1" ht="14.45" customHeight="1" x14ac:dyDescent="0.25">
      <c r="A12" s="16" t="s">
        <v>137</v>
      </c>
      <c r="B12" s="16" t="s">
        <v>69</v>
      </c>
      <c r="C12" s="16" t="s">
        <v>70</v>
      </c>
      <c r="D12" s="16" t="s">
        <v>49</v>
      </c>
      <c r="E12" s="11" t="str">
        <f>_xll.BDP(AI12,"ds520")</f>
        <v>Gaci First Investment Co</v>
      </c>
      <c r="F12" s="11" t="str">
        <f>_xll.BDP(AI12,"crncy")</f>
        <v>USD</v>
      </c>
      <c r="G12" s="34" t="s">
        <v>50</v>
      </c>
      <c r="H12" s="11" t="str">
        <f>IF(_xll.BDP(AI12,"RTG_MOODY")="#N/A N/A","N/A",_xll.BDP(AI12,"RTG_MOODY"))&amp;","&amp;IF(_xll.BDP(AI12,"RTG_FITCH")="#N/A N/A","N/A",_xll.BDP(AI12,"RTG_FITCH"))&amp;","&amp;IF(_xll.BDP(AI12,"RTG_SP")="#N/A N/A","N/A",_xll.BDP(AI12,"RTG_SP"))</f>
        <v>Aa3,A+,N/A</v>
      </c>
      <c r="I12" s="5">
        <f>_xll.BDP(AI12,"cpn")/100</f>
        <v>5.1249999999999997E-2</v>
      </c>
      <c r="J12" s="5">
        <f ca="1">_xll.BDP($G12&amp;" isin","YAS_BOND_YLD", "YAS_YLD_FLAG=15", "user_local_trade_date",AN12,"Yas_bond_px",$Q12)/100</f>
        <v>6.4382889999999998E-2</v>
      </c>
      <c r="K12" s="11" t="str">
        <f>_xll.BDP(AI12,"PAYMENT_RANK")</f>
        <v>Sr Unsecured</v>
      </c>
      <c r="L12" s="11" t="str">
        <f>IF((TEXT(_xll.BDP(AI12,"MATURITY"),"DD/MM/YYYY")="#N/A Field Not Applicable"),"Perp",TEXT(_xll.BDP(AI12,"MATURITY"),"DD/MM/YYYY"))</f>
        <v>14/02/2053</v>
      </c>
      <c r="M12" s="6">
        <f>(IF(_xll.BDP($AI12&amp;" ISIN","DU003")="#n/a n/a"," ",_xll.BDP($AI12&amp;" ISIN","DU003")))</f>
        <v>13.799560803435549</v>
      </c>
      <c r="N12" s="11" t="str">
        <f>IF(_xll.BDP(AI12,"CALLABLE")="Y",_xll.BDP(AI12,"NXT_CALL_DT")," ")</f>
        <v>14/08/2052</v>
      </c>
      <c r="O12" s="35">
        <v>150000</v>
      </c>
      <c r="P12" s="34">
        <v>84.95</v>
      </c>
      <c r="Q12" s="13">
        <f>_xll.BDP(AI12,"px_bid")</f>
        <v>83.087000000000003</v>
      </c>
      <c r="R12" s="7">
        <f>IF(F12="USD",AG12,(((_xll.BDP(F12&amp;"USD CURNCY","PX_LAST")))*AG12))</f>
        <v>127425</v>
      </c>
      <c r="S12" s="7">
        <f>IF(F12="USD",AH12,(((_xll.BDP(F12&amp;"USD CURNCY","PX_LAST")))*AH12))+AP12</f>
        <v>125826.33333333333</v>
      </c>
      <c r="T12" s="8">
        <f t="shared" si="0"/>
        <v>-2794.4999999999995</v>
      </c>
      <c r="U12" s="9">
        <f t="shared" si="1"/>
        <v>-2.1930547380812238E-2</v>
      </c>
      <c r="V12" s="9" cm="1">
        <f t="array" ref="V12">IFERROR(_xll.BDP($G12&amp;" ISIN","CHG_PCT_1D")/100,"")</f>
        <v>-2.6002824364226376E-2</v>
      </c>
      <c r="W12" s="9" cm="1">
        <f t="array" ref="W12">IFERROR(_xll.BDP($G12&amp;" ISIN","CHG_PCT_5D")/100,"")</f>
        <v>-2.7569009915987926E-2</v>
      </c>
      <c r="X12" s="9" cm="1">
        <f t="array" ref="X12">_xll.BDP($G12&amp;" ISIN","CHG_PCT_1M")/100</f>
        <v>-3.5414186479270533E-2</v>
      </c>
      <c r="Y12" s="9" cm="1">
        <f t="array" ref="Y12">_xll.BDP($G12&amp;" ISIN","CHG_PCT_3M")/100</f>
        <v>1.6021621884853756E-2</v>
      </c>
      <c r="Z12" s="9" cm="1">
        <f t="array" ref="Z12">_xll.BDP($G12&amp;" ISIN","CHG_PCT_6M")/100</f>
        <v>-5.6525917133005484E-2</v>
      </c>
      <c r="AA12" s="9" cm="1">
        <f t="array" ref="AA12">_xll.BDP($G12&amp;" ISIN","CHG_PCT_YTD")/100</f>
        <v>-2.7245677138726938E-3</v>
      </c>
      <c r="AB12" s="9" t="e">
        <f t="shared" si="2"/>
        <v>#VALUE!</v>
      </c>
      <c r="AC12" s="12">
        <f t="shared" ca="1" si="3"/>
        <v>6622.6875000000009</v>
      </c>
      <c r="AD12" s="11" t="str">
        <f>_xll.BDP(AI12,"DS199")</f>
        <v>Financial</v>
      </c>
      <c r="AE12" s="13">
        <f>_xll.BDP(AI12,"px_ask")</f>
        <v>83.822999999999993</v>
      </c>
      <c r="AF12" s="12">
        <f>IF(F12="USD",O12,(((_xll.BDP(F12&amp;"USD CURNCY","PX_LAST")))*O12))</f>
        <v>150000</v>
      </c>
      <c r="AG12" s="7">
        <f t="shared" si="4"/>
        <v>127425</v>
      </c>
      <c r="AH12" s="7">
        <f t="shared" si="5"/>
        <v>124630.5</v>
      </c>
      <c r="AI12" s="11" t="str">
        <f t="shared" si="6"/>
        <v>XS2585988145 ISIN</v>
      </c>
      <c r="AJ12" s="11" t="e" cm="1">
        <f t="array" ref="AJ12">VLOOKUP(IF(NOT(_xll.BDP($G12&amp;" CORP",$CA$4)="#N/A N/A"),(_xll.BDP($G12&amp;" CORP",$CA$4)),"-"), '[1]Country Codes'!$A$2:$B$253,2,0)</f>
        <v>#N/A</v>
      </c>
      <c r="AK12" s="11" t="str" cm="1">
        <f t="array" ref="AK12">IF(OR(_xll.BDP($AI12,"EX028")= "#N/A N/A", _xll.BDP($AI12,"EX028")="#N/A FIELD NOT APPLICABLE"), " ", _xll.BDP($AI12,"EX028"))</f>
        <v>FixedIncome</v>
      </c>
      <c r="AL12" s="5" t="str">
        <f>(IF(_xll.BDP($AI12&amp;" ISIN","DZ282")="Y","Single line Bonds Cocos","Single line Bonds ex Cocos"))</f>
        <v>Single line Bonds ex Cocos</v>
      </c>
      <c r="AM12" s="6">
        <f>(IF(_xll.BDP($G12&amp;" ISIN","SP153")="#n/a n/a"," ",_xll.BDP($G12&amp;" ISIN","SP153")))</f>
        <v>260.63639782886025</v>
      </c>
      <c r="AN12" s="14">
        <f t="shared" ca="1" si="7"/>
        <v>45755</v>
      </c>
      <c r="AO12" s="7">
        <f>(((_xll.BDP(AI12,"DS032"))/360)*I12)*O12</f>
        <v>1195.8333333333335</v>
      </c>
      <c r="AP12" s="7">
        <f>IF(F12="USD",AO12,(((_xll.BDP(F12&amp;"USD CURNCY","PX_LAST")))*AO12))</f>
        <v>1195.8333333333335</v>
      </c>
      <c r="AQ12" s="9" t="e">
        <f>S12/$S$141</f>
        <v>#DIV/0!</v>
      </c>
      <c r="AR12" s="7">
        <f t="shared" si="8"/>
        <v>124630.5</v>
      </c>
      <c r="AS12" s="13">
        <f>IF((TEXT(_xll.BDP(AI12,"MATURITY"),"DD/MM/YYYY")="#N/A Field Not Applicable"),"Perp",_xll.BDP(AI12,"DS252"))</f>
        <v>27.854893908281998</v>
      </c>
      <c r="AT12" s="5" t="str">
        <f>(IF(_xll.BDP($AI12&amp;" ISIN","DT247")="Y","Yes","No"))</f>
        <v>No</v>
      </c>
      <c r="AU12" s="5" t="str">
        <f>PROPER(IF(OR(_xll.BDP($AI12,"CPN_TYP")="#n/a N/A",_xll.BDP($AI12,"CPN_TYP")= "#N/A FIELD NOT APPLICABLE"), " ", _xll.BDP($AI12,"CPN_TYP")))</f>
        <v>Fixed</v>
      </c>
      <c r="BG12" s="27" t="str">
        <f t="shared" si="9"/>
        <v>XS2585988145</v>
      </c>
      <c r="BH12" s="27">
        <v>0.82</v>
      </c>
      <c r="BI12" s="28">
        <v>5</v>
      </c>
      <c r="BJ12" s="36">
        <v>45314</v>
      </c>
      <c r="BK12" s="30">
        <v>1</v>
      </c>
    </row>
    <row r="13" spans="1:63" s="15" customFormat="1" ht="14.45" customHeight="1" x14ac:dyDescent="0.25">
      <c r="A13" s="16" t="s">
        <v>138</v>
      </c>
      <c r="B13" s="16" t="s">
        <v>51</v>
      </c>
      <c r="C13" s="16" t="s">
        <v>52</v>
      </c>
      <c r="D13" s="16" t="s">
        <v>53</v>
      </c>
      <c r="E13" s="11" t="str">
        <f>_xll.BDP(AI13,"ds520")</f>
        <v>Gaci First Investment Co</v>
      </c>
      <c r="F13" s="11" t="str">
        <f>_xll.BDP(AI13,"crncy")</f>
        <v>USD</v>
      </c>
      <c r="G13" s="34" t="s">
        <v>54</v>
      </c>
      <c r="H13" s="11" t="str">
        <f>IF(_xll.BDP(AI13,"RTG_MOODY")="#N/A N/A","N/A",_xll.BDP(AI13,"RTG_MOODY"))&amp;","&amp;IF(_xll.BDP(AI13,"RTG_FITCH")="#N/A N/A","N/A",_xll.BDP(AI13,"RTG_FITCH"))&amp;","&amp;IF(_xll.BDP(AI13,"RTG_SP")="#N/A N/A","N/A",_xll.BDP(AI13,"RTG_SP"))</f>
        <v>Aa3,A+,N/A</v>
      </c>
      <c r="I13" s="5">
        <f>_xll.BDP(AI13,"cpn")/100</f>
        <v>5.3749999999999999E-2</v>
      </c>
      <c r="J13" s="5">
        <f ca="1">_xll.BDP($G13&amp;" isin","YAS_BOND_YLD", "YAS_YLD_FLAG=15", "user_local_trade_date",AN13,"Yas_bond_px",$Q13)/100</f>
        <v>6.3907499999999992E-2</v>
      </c>
      <c r="K13" s="11" t="str">
        <f>_xll.BDP(AI13,"PAYMENT_RANK")</f>
        <v>Sr Unsecured</v>
      </c>
      <c r="L13" s="11" t="str">
        <f>IF((TEXT(_xll.BDP(AI13,"MATURITY"),"DD/MM/YYYY")="#N/A Field Not Applicable"),"Perp",TEXT(_xll.BDP(AI13,"MATURITY"),"DD/MM/YYYY"))</f>
        <v>29/01/2054</v>
      </c>
      <c r="M13" s="6">
        <f>(IF(_xll.BDP($AI13&amp;" ISIN","DU003")="#n/a n/a"," ",_xll.BDP($AI13&amp;" ISIN","DU003")))</f>
        <v>13.833992762838573</v>
      </c>
      <c r="N13" s="11" t="str">
        <f>IF(_xll.BDP(AI13,"CALLABLE")="Y",_xll.BDP(AI13,"NXT_CALL_DT")," ")</f>
        <v>29/07/2053</v>
      </c>
      <c r="O13" s="35">
        <v>300000</v>
      </c>
      <c r="P13" s="34">
        <v>87.64</v>
      </c>
      <c r="Q13" s="13">
        <f>_xll.BDP(AI13,"px_bid")</f>
        <v>86.691999999999993</v>
      </c>
      <c r="R13" s="7">
        <f>IF(F13="USD",AG13,(((_xll.BDP(F13&amp;"USD CURNCY","PX_LAST")))*AG13))</f>
        <v>262920</v>
      </c>
      <c r="S13" s="7">
        <f>IF(F13="USD",AH13,(((_xll.BDP(F13&amp;"USD CURNCY","PX_LAST")))*AH13))+AP13</f>
        <v>263256.20833333331</v>
      </c>
      <c r="T13" s="8">
        <f t="shared" si="0"/>
        <v>-2844.0000000000223</v>
      </c>
      <c r="U13" s="9">
        <f t="shared" si="1"/>
        <v>-1.0816978548608027E-2</v>
      </c>
      <c r="V13" s="9" cm="1">
        <f t="array" ref="V13">IFERROR(_xll.BDP($G13&amp;" ISIN","CHG_PCT_1D")/100,"")</f>
        <v>-2.7628258101981149E-2</v>
      </c>
      <c r="W13" s="9" cm="1">
        <f t="array" ref="W13">IFERROR(_xll.BDP($G13&amp;" ISIN","CHG_PCT_5D")/100,"")</f>
        <v>-3.2705296836118052E-2</v>
      </c>
      <c r="X13" s="9" cm="1">
        <f t="array" ref="X13">_xll.BDP($G13&amp;" ISIN","CHG_PCT_1M")/100</f>
        <v>-3.1726438698915699E-2</v>
      </c>
      <c r="Y13" s="9" cm="1">
        <f t="array" ref="Y13">_xll.BDP($G13&amp;" ISIN","CHG_PCT_3M")/100</f>
        <v>2.1552179269079642E-2</v>
      </c>
      <c r="Z13" s="9" cm="1">
        <f t="array" ref="Z13">_xll.BDP($G13&amp;" ISIN","CHG_PCT_6M")/100</f>
        <v>-4.8913162206444503E-2</v>
      </c>
      <c r="AA13" s="9" cm="1">
        <f t="array" ref="AA13">_xll.BDP($G13&amp;" ISIN","CHG_PCT_YTD")/100</f>
        <v>1.7717849007109732E-3</v>
      </c>
      <c r="AB13" s="9" t="e">
        <f t="shared" si="2"/>
        <v>#VALUE!</v>
      </c>
      <c r="AC13" s="12">
        <f t="shared" ca="1" si="3"/>
        <v>13504.95833333331</v>
      </c>
      <c r="AD13" s="11" t="str">
        <f>_xll.BDP(AI13,"DS199")</f>
        <v>Financial</v>
      </c>
      <c r="AE13" s="13">
        <f>_xll.BDP(AI13,"px_ask")</f>
        <v>87.451999999999998</v>
      </c>
      <c r="AF13" s="12">
        <f>IF(F13="USD",O13,(((_xll.BDP(F13&amp;"USD CURNCY","PX_LAST")))*O13))</f>
        <v>300000</v>
      </c>
      <c r="AG13" s="7">
        <f t="shared" si="4"/>
        <v>262920</v>
      </c>
      <c r="AH13" s="7">
        <f t="shared" si="5"/>
        <v>260075.99999999997</v>
      </c>
      <c r="AI13" s="11" t="str">
        <f t="shared" si="6"/>
        <v>XS2755904872 ISIN</v>
      </c>
      <c r="AJ13" s="11" t="e" cm="1">
        <f t="array" ref="AJ13">VLOOKUP(IF(NOT(_xll.BDP($G13&amp;" CORP",$CA$4)="#N/A N/A"),(_xll.BDP($G13&amp;" CORP",$CA$4)),"-"), '[1]Country Codes'!$A$2:$B$253,2,0)</f>
        <v>#N/A</v>
      </c>
      <c r="AK13" s="11" t="str" cm="1">
        <f t="array" ref="AK13">IF(OR(_xll.BDP($AI13,"EX028")= "#N/A N/A", _xll.BDP($AI13,"EX028")="#N/A FIELD NOT APPLICABLE"), " ", _xll.BDP($AI13,"EX028"))</f>
        <v>FixedIncome</v>
      </c>
      <c r="AL13" s="5" t="str">
        <f>(IF(_xll.BDP($AI13&amp;" ISIN","DZ282")="Y","Single line Bonds Cocos","Single line Bonds ex Cocos"))</f>
        <v>Single line Bonds ex Cocos</v>
      </c>
      <c r="AM13" s="6">
        <f>(IF(_xll.BDP($G13&amp;" ISIN","SP153")="#n/a n/a"," ",_xll.BDP($G13&amp;" ISIN","SP153")))</f>
        <v>256.7955417889911</v>
      </c>
      <c r="AN13" s="14">
        <f t="shared" ca="1" si="7"/>
        <v>45755</v>
      </c>
      <c r="AO13" s="7">
        <f>(((_xll.BDP(AI13,"DS032"))/360)*I13)*O13</f>
        <v>3180.208333333333</v>
      </c>
      <c r="AP13" s="7">
        <f>IF(F13="USD",AO13,(((_xll.BDP(F13&amp;"USD CURNCY","PX_LAST")))*AO13))</f>
        <v>3180.208333333333</v>
      </c>
      <c r="AQ13" s="9" t="e">
        <f>S13/#REF!</f>
        <v>#REF!</v>
      </c>
      <c r="AR13" s="7">
        <f t="shared" si="8"/>
        <v>260075.99999999997</v>
      </c>
      <c r="AS13" s="13">
        <f>IF((TEXT(_xll.BDP(AI13,"MATURITY"),"DD/MM/YYYY")="#N/A Field Not Applicable"),"Perp",_xll.BDP(AI13,"DS252"))</f>
        <v>28.810403832991103</v>
      </c>
      <c r="AT13" s="5" t="str">
        <f>(IF(_xll.BDP($AI13&amp;" ISIN","DT247")="Y","Yes","No"))</f>
        <v>No</v>
      </c>
      <c r="AU13" s="5" t="str">
        <f>PROPER(IF(OR(_xll.BDP($AI13,"CPN_TYP")="#n/a N/A",_xll.BDP($AI13,"CPN_TYP")= "#N/A FIELD NOT APPLICABLE"), " ", _xll.BDP($AI13,"CPN_TYP")))</f>
        <v>Fixed</v>
      </c>
      <c r="BG13" s="27" t="str">
        <f t="shared" si="9"/>
        <v>XS2755904872</v>
      </c>
      <c r="BH13" s="27">
        <v>0.51580000000000004</v>
      </c>
      <c r="BI13" s="28">
        <v>3</v>
      </c>
      <c r="BJ13" s="36">
        <v>45390</v>
      </c>
      <c r="BK13" s="30"/>
    </row>
    <row r="14" spans="1:63" s="15" customFormat="1" ht="14.45" customHeight="1" x14ac:dyDescent="0.25">
      <c r="A14" s="16" t="s">
        <v>138</v>
      </c>
      <c r="B14" s="16" t="s">
        <v>61</v>
      </c>
      <c r="C14" s="16" t="s">
        <v>62</v>
      </c>
      <c r="D14" s="16" t="s">
        <v>53</v>
      </c>
      <c r="E14" s="11" t="str">
        <f>_xll.BDP(AI14,"ds520")</f>
        <v>Gaci First Investment Co</v>
      </c>
      <c r="F14" s="11" t="str">
        <f>_xll.BDP(AI14,"crncy")</f>
        <v>USD</v>
      </c>
      <c r="G14" s="34" t="s">
        <v>54</v>
      </c>
      <c r="H14" s="11" t="str">
        <f>IF(_xll.BDP(AI14,"RTG_MOODY")="#N/A N/A","N/A",_xll.BDP(AI14,"RTG_MOODY"))&amp;","&amp;IF(_xll.BDP(AI14,"RTG_FITCH")="#N/A N/A","N/A",_xll.BDP(AI14,"RTG_FITCH"))&amp;","&amp;IF(_xll.BDP(AI14,"RTG_SP")="#N/A N/A","N/A",_xll.BDP(AI14,"RTG_SP"))</f>
        <v>Aa3,A+,N/A</v>
      </c>
      <c r="I14" s="5">
        <f>_xll.BDP(AI14,"cpn")/100</f>
        <v>5.3749999999999999E-2</v>
      </c>
      <c r="J14" s="5">
        <f ca="1">_xll.BDP($G14&amp;" isin","YAS_BOND_YLD", "YAS_YLD_FLAG=15", "user_local_trade_date",AN14,"Yas_bond_px",$Q14)/100</f>
        <v>6.3907499999999992E-2</v>
      </c>
      <c r="K14" s="11" t="str">
        <f>_xll.BDP(AI14,"PAYMENT_RANK")</f>
        <v>Sr Unsecured</v>
      </c>
      <c r="L14" s="11" t="str">
        <f>IF((TEXT(_xll.BDP(AI14,"MATURITY"),"DD/MM/YYYY")="#N/A Field Not Applicable"),"Perp",TEXT(_xll.BDP(AI14,"MATURITY"),"DD/MM/YYYY"))</f>
        <v>29/01/2054</v>
      </c>
      <c r="M14" s="6">
        <f>(IF(_xll.BDP($AI14&amp;" ISIN","DU003")="#n/a n/a"," ",_xll.BDP($AI14&amp;" ISIN","DU003")))</f>
        <v>13.833992762838573</v>
      </c>
      <c r="N14" s="11" t="str">
        <f>IF(_xll.BDP(AI14,"CALLABLE")="Y",_xll.BDP(AI14,"NXT_CALL_DT")," ")</f>
        <v>29/07/2053</v>
      </c>
      <c r="O14" s="35">
        <v>300000</v>
      </c>
      <c r="P14" s="34">
        <v>87.64</v>
      </c>
      <c r="Q14" s="13">
        <f>_xll.BDP(AI14,"px_bid")</f>
        <v>86.691999999999993</v>
      </c>
      <c r="R14" s="7">
        <f>IF(F14="USD",AG14,(((_xll.BDP(F14&amp;"USD CURNCY","PX_LAST")))*AG14))</f>
        <v>262920</v>
      </c>
      <c r="S14" s="7">
        <f>IF(F14="USD",AH14,(((_xll.BDP(F14&amp;"USD CURNCY","PX_LAST")))*AH14))+AP14</f>
        <v>263256.20833333331</v>
      </c>
      <c r="T14" s="8">
        <f t="shared" si="0"/>
        <v>-2844.0000000000223</v>
      </c>
      <c r="U14" s="9">
        <f t="shared" si="1"/>
        <v>-1.0816978548608027E-2</v>
      </c>
      <c r="V14" s="9" cm="1">
        <f t="array" ref="V14">IFERROR(_xll.BDP($G14&amp;" ISIN","CHG_PCT_1D")/100,"")</f>
        <v>-2.7628258101981149E-2</v>
      </c>
      <c r="W14" s="9" cm="1">
        <f t="array" ref="W14">IFERROR(_xll.BDP($G14&amp;" ISIN","CHG_PCT_5D")/100,"")</f>
        <v>-3.2705296836118052E-2</v>
      </c>
      <c r="X14" s="9" cm="1">
        <f t="array" ref="X14">_xll.BDP($G14&amp;" ISIN","CHG_PCT_1M")/100</f>
        <v>-3.1726438698915699E-2</v>
      </c>
      <c r="Y14" s="9" cm="1">
        <f t="array" ref="Y14">_xll.BDP($G14&amp;" ISIN","CHG_PCT_3M")/100</f>
        <v>2.1552179269079642E-2</v>
      </c>
      <c r="Z14" s="9" cm="1">
        <f t="array" ref="Z14">_xll.BDP($G14&amp;" ISIN","CHG_PCT_6M")/100</f>
        <v>-4.8913162206444503E-2</v>
      </c>
      <c r="AA14" s="9" cm="1">
        <f t="array" ref="AA14">_xll.BDP($G14&amp;" ISIN","CHG_PCT_YTD")/100</f>
        <v>1.7717849007109732E-3</v>
      </c>
      <c r="AB14" s="9" t="e">
        <f t="shared" si="2"/>
        <v>#VALUE!</v>
      </c>
      <c r="AC14" s="12">
        <f t="shared" ca="1" si="3"/>
        <v>13504.95833333331</v>
      </c>
      <c r="AD14" s="11" t="str">
        <f>_xll.BDP(AI14,"DS199")</f>
        <v>Financial</v>
      </c>
      <c r="AE14" s="13">
        <f>_xll.BDP(AI14,"px_ask")</f>
        <v>87.451999999999998</v>
      </c>
      <c r="AF14" s="12">
        <f>IF(F14="USD",O14,(((_xll.BDP(F14&amp;"USD CURNCY","PX_LAST")))*O14))</f>
        <v>300000</v>
      </c>
      <c r="AG14" s="7">
        <f t="shared" si="4"/>
        <v>262920</v>
      </c>
      <c r="AH14" s="7">
        <f t="shared" si="5"/>
        <v>260075.99999999997</v>
      </c>
      <c r="AI14" s="11" t="str">
        <f t="shared" si="6"/>
        <v>XS2755904872 ISIN</v>
      </c>
      <c r="AJ14" s="11" t="e" cm="1">
        <f t="array" ref="AJ14">VLOOKUP(IF(NOT(_xll.BDP($G14&amp;" CORP",$CA$4)="#N/A N/A"),(_xll.BDP($G14&amp;" CORP",$CA$4)),"-"), '[1]Country Codes'!$A$2:$B$253,2,0)</f>
        <v>#N/A</v>
      </c>
      <c r="AK14" s="11" t="str" cm="1">
        <f t="array" ref="AK14">IF(OR(_xll.BDP($AI14,"EX028")= "#N/A N/A", _xll.BDP($AI14,"EX028")="#N/A FIELD NOT APPLICABLE"), " ", _xll.BDP($AI14,"EX028"))</f>
        <v>FixedIncome</v>
      </c>
      <c r="AL14" s="5" t="str">
        <f>(IF(_xll.BDP($AI14&amp;" ISIN","DZ282")="Y","Single line Bonds Cocos","Single line Bonds ex Cocos"))</f>
        <v>Single line Bonds ex Cocos</v>
      </c>
      <c r="AM14" s="6">
        <f>(IF(_xll.BDP($G14&amp;" ISIN","SP153")="#n/a n/a"," ",_xll.BDP($G14&amp;" ISIN","SP153")))</f>
        <v>256.7955417889911</v>
      </c>
      <c r="AN14" s="14">
        <f t="shared" ca="1" si="7"/>
        <v>45755</v>
      </c>
      <c r="AO14" s="7">
        <f>(((_xll.BDP(AI14,"DS032"))/360)*I14)*O14</f>
        <v>3180.208333333333</v>
      </c>
      <c r="AP14" s="7">
        <f>IF(F14="USD",AO14,(((_xll.BDP(F14&amp;"USD CURNCY","PX_LAST")))*AO14))</f>
        <v>3180.208333333333</v>
      </c>
      <c r="AQ14" s="9" t="e">
        <f>S14/#REF!</f>
        <v>#REF!</v>
      </c>
      <c r="AR14" s="7">
        <f t="shared" si="8"/>
        <v>260075.99999999997</v>
      </c>
      <c r="AS14" s="13">
        <f>IF((TEXT(_xll.BDP(AI14,"MATURITY"),"DD/MM/YYYY")="#N/A Field Not Applicable"),"Perp",_xll.BDP(AI14,"DS252"))</f>
        <v>28.810403832991103</v>
      </c>
      <c r="AT14" s="5" t="str">
        <f>(IF(_xll.BDP($AI14&amp;" ISIN","DT247")="Y","Yes","No"))</f>
        <v>No</v>
      </c>
      <c r="AU14" s="5" t="str">
        <f>PROPER(IF(OR(_xll.BDP($AI14,"CPN_TYP")="#n/a N/A",_xll.BDP($AI14,"CPN_TYP")= "#N/A FIELD NOT APPLICABLE"), " ", _xll.BDP($AI14,"CPN_TYP")))</f>
        <v>Fixed</v>
      </c>
      <c r="BG14" s="27" t="str">
        <f t="shared" si="9"/>
        <v>XS2755904872</v>
      </c>
      <c r="BH14" s="27">
        <v>0.5958</v>
      </c>
      <c r="BI14" s="28">
        <v>3</v>
      </c>
      <c r="BJ14" s="36">
        <v>45390</v>
      </c>
      <c r="BK14" s="30"/>
    </row>
    <row r="15" spans="1:63" s="15" customFormat="1" ht="14.45" customHeight="1" x14ac:dyDescent="0.25">
      <c r="A15" s="16" t="s">
        <v>138</v>
      </c>
      <c r="B15" s="16" t="s">
        <v>67</v>
      </c>
      <c r="C15" s="16" t="s">
        <v>68</v>
      </c>
      <c r="D15" s="16" t="s">
        <v>53</v>
      </c>
      <c r="E15" s="11" t="str">
        <f>_xll.BDP(AI15,"ds520")</f>
        <v>Gaci First Investment Co</v>
      </c>
      <c r="F15" s="11" t="str">
        <f>_xll.BDP(AI15,"crncy")</f>
        <v>USD</v>
      </c>
      <c r="G15" s="34" t="s">
        <v>54</v>
      </c>
      <c r="H15" s="11" t="str">
        <f>IF(_xll.BDP(AI15,"RTG_MOODY")="#N/A N/A","N/A",_xll.BDP(AI15,"RTG_MOODY"))&amp;","&amp;IF(_xll.BDP(AI15,"RTG_FITCH")="#N/A N/A","N/A",_xll.BDP(AI15,"RTG_FITCH"))&amp;","&amp;IF(_xll.BDP(AI15,"RTG_SP")="#N/A N/A","N/A",_xll.BDP(AI15,"RTG_SP"))</f>
        <v>Aa3,A+,N/A</v>
      </c>
      <c r="I15" s="5">
        <f>_xll.BDP(AI15,"cpn")/100</f>
        <v>5.3749999999999999E-2</v>
      </c>
      <c r="J15" s="5">
        <f ca="1">_xll.BDP($G15&amp;" isin","YAS_BOND_YLD", "YAS_YLD_FLAG=15", "user_local_trade_date",AN15,"Yas_bond_px",$Q15)/100</f>
        <v>6.3907499999999992E-2</v>
      </c>
      <c r="K15" s="11" t="str">
        <f>_xll.BDP(AI15,"PAYMENT_RANK")</f>
        <v>Sr Unsecured</v>
      </c>
      <c r="L15" s="11" t="str">
        <f>IF((TEXT(_xll.BDP(AI15,"MATURITY"),"DD/MM/YYYY")="#N/A Field Not Applicable"),"Perp",TEXT(_xll.BDP(AI15,"MATURITY"),"DD/MM/YYYY"))</f>
        <v>29/01/2054</v>
      </c>
      <c r="M15" s="6">
        <f>(IF(_xll.BDP($AI15&amp;" ISIN","DU003")="#n/a n/a"," ",_xll.BDP($AI15&amp;" ISIN","DU003")))</f>
        <v>13.833992762838573</v>
      </c>
      <c r="N15" s="11" t="str">
        <f>IF(_xll.BDP(AI15,"CALLABLE")="Y",_xll.BDP(AI15,"NXT_CALL_DT")," ")</f>
        <v>29/07/2053</v>
      </c>
      <c r="O15" s="35">
        <v>300000</v>
      </c>
      <c r="P15" s="34">
        <v>87.43</v>
      </c>
      <c r="Q15" s="13">
        <f>_xll.BDP(AI15,"px_bid")</f>
        <v>86.691999999999993</v>
      </c>
      <c r="R15" s="7">
        <f>IF(F15="USD",AG15,(((_xll.BDP(F15&amp;"USD CURNCY","PX_LAST")))*AG15))</f>
        <v>262290.00000000006</v>
      </c>
      <c r="S15" s="7">
        <f>IF(F15="USD",AH15,(((_xll.BDP(F15&amp;"USD CURNCY","PX_LAST")))*AH15))+AP15</f>
        <v>263256.20833333331</v>
      </c>
      <c r="T15" s="8">
        <f t="shared" si="0"/>
        <v>-2214.0000000000414</v>
      </c>
      <c r="U15" s="9">
        <f t="shared" si="1"/>
        <v>-8.4410385451219681E-3</v>
      </c>
      <c r="V15" s="9" cm="1">
        <f t="array" ref="V15">IFERROR(_xll.BDP($G15&amp;" ISIN","CHG_PCT_1D")/100,"")</f>
        <v>-2.7628258101981149E-2</v>
      </c>
      <c r="W15" s="9" cm="1">
        <f t="array" ref="W15">IFERROR(_xll.BDP($G15&amp;" ISIN","CHG_PCT_5D")/100,"")</f>
        <v>-3.2705296836118052E-2</v>
      </c>
      <c r="X15" s="9" cm="1">
        <f t="array" ref="X15">_xll.BDP($G15&amp;" ISIN","CHG_PCT_1M")/100</f>
        <v>-3.1726438698915699E-2</v>
      </c>
      <c r="Y15" s="9" cm="1">
        <f t="array" ref="Y15">_xll.BDP($G15&amp;" ISIN","CHG_PCT_3M")/100</f>
        <v>2.1552179269079642E-2</v>
      </c>
      <c r="Z15" s="9" cm="1">
        <f t="array" ref="Z15">_xll.BDP($G15&amp;" ISIN","CHG_PCT_6M")/100</f>
        <v>-4.8913162206444503E-2</v>
      </c>
      <c r="AA15" s="9" cm="1">
        <f t="array" ref="AA15">_xll.BDP($G15&amp;" ISIN","CHG_PCT_YTD")/100</f>
        <v>1.7717849007109732E-3</v>
      </c>
      <c r="AB15" s="9" t="e">
        <f t="shared" si="2"/>
        <v>#VALUE!</v>
      </c>
      <c r="AC15" s="12">
        <f t="shared" ca="1" si="3"/>
        <v>14134.95833333329</v>
      </c>
      <c r="AD15" s="11" t="str">
        <f>_xll.BDP(AI15,"DS199")</f>
        <v>Financial</v>
      </c>
      <c r="AE15" s="13">
        <f>_xll.BDP(AI15,"px_ask")</f>
        <v>87.451999999999998</v>
      </c>
      <c r="AF15" s="12">
        <f>IF(F15="USD",O15,(((_xll.BDP(F15&amp;"USD CURNCY","PX_LAST")))*O15))</f>
        <v>300000</v>
      </c>
      <c r="AG15" s="7">
        <f t="shared" si="4"/>
        <v>262290.00000000006</v>
      </c>
      <c r="AH15" s="7">
        <f t="shared" si="5"/>
        <v>260075.99999999997</v>
      </c>
      <c r="AI15" s="11" t="str">
        <f t="shared" si="6"/>
        <v>XS2755904872 ISIN</v>
      </c>
      <c r="AJ15" s="11" t="e" cm="1">
        <f t="array" ref="AJ15">VLOOKUP(IF(NOT(_xll.BDP($G15&amp;" CORP",$CA$4)="#N/A N/A"),(_xll.BDP($G15&amp;" CORP",$CA$4)),"-"), '[1]Country Codes'!$A$2:$B$253,2,0)</f>
        <v>#N/A</v>
      </c>
      <c r="AK15" s="11" t="str" cm="1">
        <f t="array" ref="AK15">IF(OR(_xll.BDP($AI15,"EX028")= "#N/A N/A", _xll.BDP($AI15,"EX028")="#N/A FIELD NOT APPLICABLE"), " ", _xll.BDP($AI15,"EX028"))</f>
        <v>FixedIncome</v>
      </c>
      <c r="AL15" s="5" t="str">
        <f>(IF(_xll.BDP($AI15&amp;" ISIN","DZ282")="Y","Single line Bonds Cocos","Single line Bonds ex Cocos"))</f>
        <v>Single line Bonds ex Cocos</v>
      </c>
      <c r="AM15" s="6">
        <f>(IF(_xll.BDP($G15&amp;" ISIN","SP153")="#n/a n/a"," ",_xll.BDP($G15&amp;" ISIN","SP153")))</f>
        <v>256.7955417889911</v>
      </c>
      <c r="AN15" s="14">
        <f t="shared" ca="1" si="7"/>
        <v>45755</v>
      </c>
      <c r="AO15" s="7">
        <f>(((_xll.BDP(AI15,"DS032"))/360)*I15)*O15</f>
        <v>3180.208333333333</v>
      </c>
      <c r="AP15" s="7">
        <f>IF(F15="USD",AO15,(((_xll.BDP(F15&amp;"USD CURNCY","PX_LAST")))*AO15))</f>
        <v>3180.208333333333</v>
      </c>
      <c r="AQ15" s="9" t="e">
        <f>S15/$S$131</f>
        <v>#DIV/0!</v>
      </c>
      <c r="AR15" s="7">
        <f t="shared" si="8"/>
        <v>260075.99999999997</v>
      </c>
      <c r="AS15" s="13">
        <f>IF((TEXT(_xll.BDP(AI15,"MATURITY"),"DD/MM/YYYY")="#N/A Field Not Applicable"),"Perp",_xll.BDP(AI15,"DS252"))</f>
        <v>28.810403832991103</v>
      </c>
      <c r="AT15" s="5" t="str">
        <f>(IF(_xll.BDP($AI15&amp;" ISIN","DT247")="Y","Yes","No"))</f>
        <v>No</v>
      </c>
      <c r="AU15" s="5" t="str">
        <f>PROPER(IF(OR(_xll.BDP($AI15,"CPN_TYP")="#n/a N/A",_xll.BDP($AI15,"CPN_TYP")= "#N/A FIELD NOT APPLICABLE"), " ", _xll.BDP($AI15,"CPN_TYP")))</f>
        <v>Fixed</v>
      </c>
      <c r="BG15" s="27" t="str">
        <f t="shared" si="9"/>
        <v>XS2755904872</v>
      </c>
      <c r="BH15" s="27">
        <f>VLOOKUP(BG15,'[2]Portefeuille 4379150'!$B$3:$G$42,6,0)</f>
        <v>0.5988</v>
      </c>
      <c r="BI15" s="28">
        <v>3</v>
      </c>
      <c r="BJ15" s="36">
        <v>45390</v>
      </c>
      <c r="BK15" s="30">
        <v>1</v>
      </c>
    </row>
    <row r="16" spans="1:63" s="15" customFormat="1" ht="14.45" customHeight="1" x14ac:dyDescent="0.25">
      <c r="A16" s="16" t="s">
        <v>137</v>
      </c>
      <c r="B16" s="16" t="s">
        <v>79</v>
      </c>
      <c r="C16" s="16" t="s">
        <v>80</v>
      </c>
      <c r="D16" s="16" t="s">
        <v>49</v>
      </c>
      <c r="E16" s="11" t="str">
        <f>_xll.BDP(AI16,"ds520")</f>
        <v>Gaci First Investment Co</v>
      </c>
      <c r="F16" s="11" t="str">
        <f>_xll.BDP(AI16,"crncy")</f>
        <v>USD</v>
      </c>
      <c r="G16" s="34" t="s">
        <v>54</v>
      </c>
      <c r="H16" s="11" t="str">
        <f>IF(_xll.BDP(AI16,"RTG_MOODY")="#N/A N/A","N/A",_xll.BDP(AI16,"RTG_MOODY"))&amp;","&amp;IF(_xll.BDP(AI16,"RTG_FITCH")="#N/A N/A","N/A",_xll.BDP(AI16,"RTG_FITCH"))&amp;","&amp;IF(_xll.BDP(AI16,"RTG_SP")="#N/A N/A","N/A",_xll.BDP(AI16,"RTG_SP"))</f>
        <v>Aa3,A+,N/A</v>
      </c>
      <c r="I16" s="5">
        <f>_xll.BDP(AI16,"cpn")/100</f>
        <v>5.3749999999999999E-2</v>
      </c>
      <c r="J16" s="5">
        <f ca="1">_xll.BDP($G16&amp;" isin","YAS_BOND_YLD", "YAS_YLD_FLAG=15", "user_local_trade_date",AN16,"Yas_bond_px",$Q16)/100</f>
        <v>6.3907499999999992E-2</v>
      </c>
      <c r="K16" s="11" t="str">
        <f>_xll.BDP(AI16,"PAYMENT_RANK")</f>
        <v>Sr Unsecured</v>
      </c>
      <c r="L16" s="11" t="str">
        <f>IF((TEXT(_xll.BDP(AI16,"MATURITY"),"DD/MM/YYYY")="#N/A Field Not Applicable"),"Perp",TEXT(_xll.BDP(AI16,"MATURITY"),"DD/MM/YYYY"))</f>
        <v>29/01/2054</v>
      </c>
      <c r="M16" s="6">
        <f>(IF(_xll.BDP($AI16&amp;" ISIN","DU003")="#n/a n/a"," ",_xll.BDP($AI16&amp;" ISIN","DU003")))</f>
        <v>13.833992762838573</v>
      </c>
      <c r="N16" s="11" t="str">
        <f>IF(_xll.BDP(AI16,"CALLABLE")="Y",_xll.BDP(AI16,"NXT_CALL_DT")," ")</f>
        <v>29/07/2053</v>
      </c>
      <c r="O16" s="35">
        <v>200000</v>
      </c>
      <c r="P16" s="34">
        <v>88.25</v>
      </c>
      <c r="Q16" s="13">
        <f>_xll.BDP(AI16,"px_bid")</f>
        <v>86.691999999999993</v>
      </c>
      <c r="R16" s="7">
        <f>IF(F16="USD",AG16,(((_xll.BDP(F16&amp;"USD CURNCY","PX_LAST")))*AG16))</f>
        <v>176500</v>
      </c>
      <c r="S16" s="7">
        <f>IF(F16="USD",AH16,(((_xll.BDP(F16&amp;"USD CURNCY","PX_LAST")))*AH16))+AP16</f>
        <v>175504.13888888888</v>
      </c>
      <c r="T16" s="8">
        <f t="shared" si="0"/>
        <v>-3116.0000000000136</v>
      </c>
      <c r="U16" s="9">
        <f t="shared" si="1"/>
        <v>-1.765439093484427E-2</v>
      </c>
      <c r="V16" s="9" cm="1">
        <f t="array" ref="V16">IFERROR(_xll.BDP($G16&amp;" ISIN","CHG_PCT_1D")/100,"")</f>
        <v>-2.7628258101981149E-2</v>
      </c>
      <c r="W16" s="9" cm="1">
        <f t="array" ref="W16">IFERROR(_xll.BDP($G16&amp;" ISIN","CHG_PCT_5D")/100,"")</f>
        <v>-3.2705296836118052E-2</v>
      </c>
      <c r="X16" s="9" cm="1">
        <f t="array" ref="X16">_xll.BDP($G16&amp;" ISIN","CHG_PCT_1M")/100</f>
        <v>-3.1726438698915699E-2</v>
      </c>
      <c r="Y16" s="9" cm="1">
        <f t="array" ref="Y16">_xll.BDP($G16&amp;" ISIN","CHG_PCT_3M")/100</f>
        <v>2.1552179269079642E-2</v>
      </c>
      <c r="Z16" s="9" cm="1">
        <f t="array" ref="Z16">_xll.BDP($G16&amp;" ISIN","CHG_PCT_6M")/100</f>
        <v>-4.8913162206444503E-2</v>
      </c>
      <c r="AA16" s="9" cm="1">
        <f t="array" ref="AA16">_xll.BDP($G16&amp;" ISIN","CHG_PCT_YTD")/100</f>
        <v>1.7717849007109732E-3</v>
      </c>
      <c r="AB16" s="9" t="e">
        <f t="shared" si="2"/>
        <v>#VALUE!</v>
      </c>
      <c r="AC16" s="12">
        <f t="shared" ca="1" si="3"/>
        <v>8320.8055555555402</v>
      </c>
      <c r="AD16" s="11" t="str">
        <f>_xll.BDP(AI16,"DS199")</f>
        <v>Financial</v>
      </c>
      <c r="AE16" s="13">
        <f>_xll.BDP(AI16,"px_ask")</f>
        <v>87.451999999999998</v>
      </c>
      <c r="AF16" s="12">
        <f>IF(F16="USD",O16,(((_xll.BDP(F16&amp;"USD CURNCY","PX_LAST")))*O16))</f>
        <v>200000</v>
      </c>
      <c r="AG16" s="7">
        <f t="shared" si="4"/>
        <v>176500</v>
      </c>
      <c r="AH16" s="7">
        <f t="shared" si="5"/>
        <v>173384</v>
      </c>
      <c r="AI16" s="11" t="str">
        <f t="shared" si="6"/>
        <v>XS2755904872 ISIN</v>
      </c>
      <c r="AJ16" s="11" t="e" cm="1">
        <f t="array" ref="AJ16">VLOOKUP(IF(NOT(_xll.BDP($G16&amp;" CORP",$CA$4)="#N/A N/A"),(_xll.BDP($G16&amp;" CORP",$CA$4)),"-"), '[1]Country Codes'!$A$2:$B$253,2,0)</f>
        <v>#N/A</v>
      </c>
      <c r="AK16" s="11" t="str" cm="1">
        <f t="array" ref="AK16">IF(OR(_xll.BDP($AI16,"EX028")= "#N/A N/A", _xll.BDP($AI16,"EX028")="#N/A FIELD NOT APPLICABLE"), " ", _xll.BDP($AI16,"EX028"))</f>
        <v>FixedIncome</v>
      </c>
      <c r="AL16" s="5" t="str">
        <f>(IF(_xll.BDP($AI16&amp;" ISIN","DZ282")="Y","Single line Bonds Cocos","Single line Bonds ex Cocos"))</f>
        <v>Single line Bonds ex Cocos</v>
      </c>
      <c r="AM16" s="6">
        <f>(IF(_xll.BDP($G16&amp;" ISIN","SP153")="#n/a n/a"," ",_xll.BDP($G16&amp;" ISIN","SP153")))</f>
        <v>256.7955417889911</v>
      </c>
      <c r="AN16" s="14">
        <f t="shared" ca="1" si="7"/>
        <v>45755</v>
      </c>
      <c r="AO16" s="7">
        <f>(((_xll.BDP(AI16,"DS032"))/360)*I16)*O16</f>
        <v>2120.1388888888887</v>
      </c>
      <c r="AP16" s="7">
        <f>IF(F16="USD",AO16,(((_xll.BDP(F16&amp;"USD CURNCY","PX_LAST")))*AO16))</f>
        <v>2120.1388888888887</v>
      </c>
      <c r="AQ16" s="9" t="e">
        <f>S16/$S$137</f>
        <v>#DIV/0!</v>
      </c>
      <c r="AR16" s="7">
        <f t="shared" si="8"/>
        <v>173384</v>
      </c>
      <c r="AS16" s="13">
        <f>IF((TEXT(_xll.BDP(AI16,"MATURITY"),"DD/MM/YYYY")="#N/A Field Not Applicable"),"Perp",_xll.BDP(AI16,"DS252"))</f>
        <v>28.810403832991103</v>
      </c>
      <c r="AT16" s="5" t="str">
        <f>(IF(_xll.BDP($AI16&amp;" ISIN","DT247")="Y","Yes","No"))</f>
        <v>No</v>
      </c>
      <c r="AU16" s="5" t="str">
        <f>PROPER(IF(OR(_xll.BDP($AI16,"CPN_TYP")="#n/a N/A",_xll.BDP($AI16,"CPN_TYP")= "#N/A FIELD NOT APPLICABLE"), " ", _xll.BDP($AI16,"CPN_TYP")))</f>
        <v>Fixed</v>
      </c>
      <c r="BG16" s="27" t="str">
        <f t="shared" si="9"/>
        <v>XS2755904872</v>
      </c>
      <c r="BH16" s="27">
        <v>0.77</v>
      </c>
      <c r="BI16" s="28">
        <v>3</v>
      </c>
      <c r="BJ16" s="36">
        <v>45372</v>
      </c>
      <c r="BK16" s="30">
        <v>1</v>
      </c>
    </row>
    <row r="17" spans="1:63" s="15" customFormat="1" ht="14.45" customHeight="1" x14ac:dyDescent="0.25">
      <c r="A17" s="16" t="s">
        <v>138</v>
      </c>
      <c r="B17" s="16" t="s">
        <v>51</v>
      </c>
      <c r="C17" s="16" t="s">
        <v>52</v>
      </c>
      <c r="D17" s="16" t="s">
        <v>53</v>
      </c>
      <c r="E17" s="11" t="str">
        <f>_xll.BDP(AI17,"ds520")</f>
        <v>Greensaif Pipelines Bidco Sarl</v>
      </c>
      <c r="F17" s="11" t="str">
        <f>_xll.BDP(AI17,"crncy")</f>
        <v>USD</v>
      </c>
      <c r="G17" s="34" t="s">
        <v>59</v>
      </c>
      <c r="H17" s="11" t="str">
        <f>IF(_xll.BDP(AI17,"RTG_MOODY")="#N/A N/A","N/A",_xll.BDP(AI17,"RTG_MOODY"))&amp;","&amp;IF(_xll.BDP(AI17,"RTG_FITCH")="#N/A N/A","N/A",_xll.BDP(AI17,"RTG_FITCH"))&amp;","&amp;IF(_xll.BDP(AI17,"RTG_SP")="#N/A N/A","N/A",_xll.BDP(AI17,"RTG_SP"))</f>
        <v>Aa3,A+,N/A</v>
      </c>
      <c r="I17" s="5">
        <f>_xll.BDP(AI17,"cpn")/100</f>
        <v>6.5099999999999991E-2</v>
      </c>
      <c r="J17" s="5">
        <f ca="1">_xll.BDP($G17&amp;" isin","YAS_BOND_YLD", "YAS_YLD_FLAG=15", "user_local_trade_date",AN17,"Yas_bond_px",$Q17)/100</f>
        <v>6.3130169999999999E-2</v>
      </c>
      <c r="K17" s="11" t="str">
        <f>_xll.BDP(AI17,"PAYMENT_RANK")</f>
        <v>Secured</v>
      </c>
      <c r="L17" s="11" t="str">
        <f>IF((TEXT(_xll.BDP(AI17,"MATURITY"),"DD/MM/YYYY")="#N/A Field Not Applicable"),"Perp",TEXT(_xll.BDP(AI17,"MATURITY"),"DD/MM/YYYY"))</f>
        <v>23/02/2042</v>
      </c>
      <c r="M17" s="6">
        <f>(IF(_xll.BDP($AI17&amp;" ISIN","DU003")="#n/a n/a"," ",_xll.BDP($AI17&amp;" ISIN","DU003")))</f>
        <v>10.02467654063684</v>
      </c>
      <c r="N17" s="11" t="str">
        <f>IF(_xll.BDP(AI17,"CALLABLE")="Y",_xll.BDP(AI17,"NXT_CALL_DT")," ")</f>
        <v xml:space="preserve"> </v>
      </c>
      <c r="O17" s="35">
        <v>300000</v>
      </c>
      <c r="P17" s="34">
        <v>103.753</v>
      </c>
      <c r="Q17" s="13">
        <f>_xll.BDP(AI17,"px_bid")</f>
        <v>102.017</v>
      </c>
      <c r="R17" s="7">
        <f>IF(F17="USD",AG17,(((_xll.BDP(F17&amp;"USD CURNCY","PX_LAST")))*AG17))</f>
        <v>311259</v>
      </c>
      <c r="S17" s="7">
        <f>IF(F17="USD",AH17,(((_xll.BDP(F17&amp;"USD CURNCY","PX_LAST")))*AH17))+AP17</f>
        <v>308600.75</v>
      </c>
      <c r="T17" s="8">
        <f t="shared" si="0"/>
        <v>-5208.0000000000127</v>
      </c>
      <c r="U17" s="9">
        <f t="shared" si="1"/>
        <v>-1.6732046302275639E-2</v>
      </c>
      <c r="V17" s="9" cm="1">
        <f t="array" ref="V17">IFERROR(_xll.BDP($G17&amp;" ISIN","CHG_PCT_1D")/100,"")</f>
        <v>-1.078303119091559E-3</v>
      </c>
      <c r="W17" s="9" cm="1">
        <f t="array" ref="W17">IFERROR(_xll.BDP($G17&amp;" ISIN","CHG_PCT_5D")/100,"")</f>
        <v>-2.0608642087318586E-2</v>
      </c>
      <c r="X17" s="9" cm="1">
        <f t="array" ref="X17">_xll.BDP($G17&amp;" ISIN","CHG_PCT_1M")/100</f>
        <v>-1.5721489683132233E-2</v>
      </c>
      <c r="Y17" s="9" cm="1">
        <f t="array" ref="Y17">_xll.BDP($G17&amp;" ISIN","CHG_PCT_3M")/100</f>
        <v>2.4339277562855925E-2</v>
      </c>
      <c r="Z17" s="9" cm="1">
        <f t="array" ref="Z17">_xll.BDP($G17&amp;" ISIN","CHG_PCT_6M")/100</f>
        <v>-3.2203693742155197E-2</v>
      </c>
      <c r="AA17" s="9" cm="1">
        <f t="array" ref="AA17">_xll.BDP($G17&amp;" ISIN","CHG_PCT_YTD")/100</f>
        <v>1.1804148224740534E-2</v>
      </c>
      <c r="AB17" s="9" t="e">
        <f t="shared" si="2"/>
        <v>#VALUE!</v>
      </c>
      <c r="AC17" s="12">
        <f t="shared" ca="1" si="3"/>
        <v>3417.7499999999854</v>
      </c>
      <c r="AD17" s="11" t="str">
        <f>_xll.BDP(AI17,"DS199")</f>
        <v>Energy</v>
      </c>
      <c r="AE17" s="13">
        <f>_xll.BDP(AI17,"px_ask")</f>
        <v>103.09</v>
      </c>
      <c r="AF17" s="12">
        <f>IF(F17="USD",O17,(((_xll.BDP(F17&amp;"USD CURNCY","PX_LAST")))*O17))</f>
        <v>300000</v>
      </c>
      <c r="AG17" s="7">
        <f t="shared" si="4"/>
        <v>311259</v>
      </c>
      <c r="AH17" s="7">
        <f t="shared" si="5"/>
        <v>306051</v>
      </c>
      <c r="AI17" s="11" t="str">
        <f t="shared" si="6"/>
        <v>XS2542166744 ISIN</v>
      </c>
      <c r="AJ17" s="11" t="e" cm="1">
        <f t="array" ref="AJ17">VLOOKUP(IF(NOT(_xll.BDP($G17&amp;" CORP",$CA$4)="#N/A N/A"),(_xll.BDP($G17&amp;" CORP",$CA$4)),"-"), '[1]Country Codes'!$A$2:$B$253,2,0)</f>
        <v>#N/A</v>
      </c>
      <c r="AK17" s="11" t="str" cm="1">
        <f t="array" ref="AK17">IF(OR(_xll.BDP($AI17,"EX028")= "#N/A N/A", _xll.BDP($AI17,"EX028")="#N/A FIELD NOT APPLICABLE"), " ", _xll.BDP($AI17,"EX028"))</f>
        <v>FixedIncome</v>
      </c>
      <c r="AL17" s="5" t="str">
        <f>(IF(_xll.BDP($AI17&amp;" ISIN","DZ282")="Y","Single line Bonds Cocos","Single line Bonds ex Cocos"))</f>
        <v>Single line Bonds ex Cocos</v>
      </c>
      <c r="AM17" s="6">
        <f>(IF(_xll.BDP($G17&amp;" ISIN","SP153")="#n/a n/a"," ",_xll.BDP($G17&amp;" ISIN","SP153")))</f>
        <v>242.97888107133605</v>
      </c>
      <c r="AN17" s="14">
        <f t="shared" ca="1" si="7"/>
        <v>45755</v>
      </c>
      <c r="AO17" s="7">
        <f>(((_xll.BDP(AI17,"DS032"))/360)*I17)*O17</f>
        <v>2549.7499999999995</v>
      </c>
      <c r="AP17" s="7">
        <f>IF(F17="USD",AO17,(((_xll.BDP(F17&amp;"USD CURNCY","PX_LAST")))*AO17))</f>
        <v>2549.7499999999995</v>
      </c>
      <c r="AQ17" s="9" t="e">
        <f>S17/#REF!</f>
        <v>#REF!</v>
      </c>
      <c r="AR17" s="7">
        <f t="shared" si="8"/>
        <v>306051</v>
      </c>
      <c r="AS17" s="13">
        <f>IF((TEXT(_xll.BDP(AI17,"MATURITY"),"DD/MM/YYYY")="#N/A Field Not Applicable"),"Perp",_xll.BDP(AI17,"DS252"))</f>
        <v>16.878850102669404</v>
      </c>
      <c r="AT17" s="5" t="str">
        <f>(IF(_xll.BDP($AI17&amp;" ISIN","DT247")="Y","Yes","No"))</f>
        <v>No</v>
      </c>
      <c r="AU17" s="5" t="str">
        <f>PROPER(IF(OR(_xll.BDP($AI17,"CPN_TYP")="#n/a N/A",_xll.BDP($AI17,"CPN_TYP")= "#N/A FIELD NOT APPLICABLE"), " ", _xll.BDP($AI17,"CPN_TYP")))</f>
        <v>Fixed</v>
      </c>
      <c r="BG17" s="27" t="str">
        <f t="shared" si="9"/>
        <v>XS2542166744</v>
      </c>
      <c r="BH17" s="27">
        <v>0.67649999999999999</v>
      </c>
      <c r="BI17" s="28">
        <v>2</v>
      </c>
      <c r="BJ17" s="36">
        <v>45596</v>
      </c>
      <c r="BK17" s="30"/>
    </row>
    <row r="18" spans="1:63" s="15" customFormat="1" ht="14.45" customHeight="1" x14ac:dyDescent="0.25">
      <c r="A18" s="16" t="s">
        <v>138</v>
      </c>
      <c r="B18" s="16" t="s">
        <v>61</v>
      </c>
      <c r="C18" s="16" t="s">
        <v>62</v>
      </c>
      <c r="D18" s="16" t="s">
        <v>53</v>
      </c>
      <c r="E18" s="11" t="str">
        <f>_xll.BDP(AI18,"ds520")</f>
        <v>Greensaif Pipelines Bidco Sarl</v>
      </c>
      <c r="F18" s="11" t="str">
        <f>_xll.BDP(AI18,"crncy")</f>
        <v>USD</v>
      </c>
      <c r="G18" s="34" t="s">
        <v>59</v>
      </c>
      <c r="H18" s="11" t="str">
        <f>IF(_xll.BDP(AI18,"RTG_MOODY")="#N/A N/A","N/A",_xll.BDP(AI18,"RTG_MOODY"))&amp;","&amp;IF(_xll.BDP(AI18,"RTG_FITCH")="#N/A N/A","N/A",_xll.BDP(AI18,"RTG_FITCH"))&amp;","&amp;IF(_xll.BDP(AI18,"RTG_SP")="#N/A N/A","N/A",_xll.BDP(AI18,"RTG_SP"))</f>
        <v>Aa3,A+,N/A</v>
      </c>
      <c r="I18" s="5">
        <f>_xll.BDP(AI18,"cpn")/100</f>
        <v>6.5099999999999991E-2</v>
      </c>
      <c r="J18" s="5">
        <f ca="1">_xll.BDP($G18&amp;" isin","YAS_BOND_YLD", "YAS_YLD_FLAG=15", "user_local_trade_date",AN18,"Yas_bond_px",$Q18)/100</f>
        <v>6.3130169999999999E-2</v>
      </c>
      <c r="K18" s="11" t="str">
        <f>_xll.BDP(AI18,"PAYMENT_RANK")</f>
        <v>Secured</v>
      </c>
      <c r="L18" s="11" t="str">
        <f>IF((TEXT(_xll.BDP(AI18,"MATURITY"),"DD/MM/YYYY")="#N/A Field Not Applicable"),"Perp",TEXT(_xll.BDP(AI18,"MATURITY"),"DD/MM/YYYY"))</f>
        <v>23/02/2042</v>
      </c>
      <c r="M18" s="6">
        <f>(IF(_xll.BDP($AI18&amp;" ISIN","DU003")="#n/a n/a"," ",_xll.BDP($AI18&amp;" ISIN","DU003")))</f>
        <v>10.02467654063684</v>
      </c>
      <c r="N18" s="11" t="str">
        <f>IF(_xll.BDP(AI18,"CALLABLE")="Y",_xll.BDP(AI18,"NXT_CALL_DT")," ")</f>
        <v xml:space="preserve"> </v>
      </c>
      <c r="O18" s="35">
        <v>200000</v>
      </c>
      <c r="P18" s="34">
        <v>103.782</v>
      </c>
      <c r="Q18" s="13">
        <f>_xll.BDP(AI18,"px_bid")</f>
        <v>102.017</v>
      </c>
      <c r="R18" s="7">
        <f>IF(F18="USD",AG18,(((_xll.BDP(F18&amp;"USD CURNCY","PX_LAST")))*AG18))</f>
        <v>207564</v>
      </c>
      <c r="S18" s="7">
        <f>IF(F18="USD",AH18,(((_xll.BDP(F18&amp;"USD CURNCY","PX_LAST")))*AH18))+AP18</f>
        <v>205733.83333333334</v>
      </c>
      <c r="T18" s="8">
        <f t="shared" si="0"/>
        <v>-3530.0000000000009</v>
      </c>
      <c r="U18" s="9">
        <f t="shared" si="1"/>
        <v>-1.700680272108844E-2</v>
      </c>
      <c r="V18" s="9" cm="1">
        <f t="array" ref="V18">IFERROR(_xll.BDP($G18&amp;" ISIN","CHG_PCT_1D")/100,"")</f>
        <v>-1.078303119091559E-3</v>
      </c>
      <c r="W18" s="9" cm="1">
        <f t="array" ref="W18">IFERROR(_xll.BDP($G18&amp;" ISIN","CHG_PCT_5D")/100,"")</f>
        <v>-2.0608642087318586E-2</v>
      </c>
      <c r="X18" s="9" cm="1">
        <f t="array" ref="X18">_xll.BDP($G18&amp;" ISIN","CHG_PCT_1M")/100</f>
        <v>-1.5721489683132233E-2</v>
      </c>
      <c r="Y18" s="9" cm="1">
        <f t="array" ref="Y18">_xll.BDP($G18&amp;" ISIN","CHG_PCT_3M")/100</f>
        <v>2.4339277562855925E-2</v>
      </c>
      <c r="Z18" s="9" cm="1">
        <f t="array" ref="Z18">_xll.BDP($G18&amp;" ISIN","CHG_PCT_6M")/100</f>
        <v>-3.2203693742155197E-2</v>
      </c>
      <c r="AA18" s="9" cm="1">
        <f t="array" ref="AA18">_xll.BDP($G18&amp;" ISIN","CHG_PCT_YTD")/100</f>
        <v>1.1804148224740534E-2</v>
      </c>
      <c r="AB18" s="9" t="e">
        <f t="shared" si="2"/>
        <v>#VALUE!</v>
      </c>
      <c r="AC18" s="12">
        <f t="shared" ca="1" si="3"/>
        <v>2220.4999999999977</v>
      </c>
      <c r="AD18" s="11" t="str">
        <f>_xll.BDP(AI18,"DS199")</f>
        <v>Energy</v>
      </c>
      <c r="AE18" s="13">
        <f>_xll.BDP(AI18,"px_ask")</f>
        <v>103.09</v>
      </c>
      <c r="AF18" s="12">
        <f>IF(F18="USD",O18,(((_xll.BDP(F18&amp;"USD CURNCY","PX_LAST")))*O18))</f>
        <v>200000</v>
      </c>
      <c r="AG18" s="7">
        <f t="shared" si="4"/>
        <v>207564</v>
      </c>
      <c r="AH18" s="7">
        <f t="shared" si="5"/>
        <v>204034</v>
      </c>
      <c r="AI18" s="11" t="str">
        <f t="shared" si="6"/>
        <v>XS2542166744 ISIN</v>
      </c>
      <c r="AJ18" s="11" t="e" cm="1">
        <f t="array" ref="AJ18">VLOOKUP(IF(NOT(_xll.BDP($G18&amp;" CORP",$CA$4)="#N/A N/A"),(_xll.BDP($G18&amp;" CORP",$CA$4)),"-"), '[1]Country Codes'!$A$2:$B$253,2,0)</f>
        <v>#N/A</v>
      </c>
      <c r="AK18" s="11" t="str" cm="1">
        <f t="array" ref="AK18">IF(OR(_xll.BDP($AI18,"EX028")= "#N/A N/A", _xll.BDP($AI18,"EX028")="#N/A FIELD NOT APPLICABLE"), " ", _xll.BDP($AI18,"EX028"))</f>
        <v>FixedIncome</v>
      </c>
      <c r="AL18" s="5" t="str">
        <f>(IF(_xll.BDP($AI18&amp;" ISIN","DZ282")="Y","Single line Bonds Cocos","Single line Bonds ex Cocos"))</f>
        <v>Single line Bonds ex Cocos</v>
      </c>
      <c r="AM18" s="6">
        <f>(IF(_xll.BDP($G18&amp;" ISIN","SP153")="#n/a n/a"," ",_xll.BDP($G18&amp;" ISIN","SP153")))</f>
        <v>242.97888107133605</v>
      </c>
      <c r="AN18" s="14">
        <f t="shared" ca="1" si="7"/>
        <v>45755</v>
      </c>
      <c r="AO18" s="7">
        <f>(((_xll.BDP(AI18,"DS032"))/360)*I18)*O18</f>
        <v>1699.833333333333</v>
      </c>
      <c r="AP18" s="7">
        <f>IF(F18="USD",AO18,(((_xll.BDP(F18&amp;"USD CURNCY","PX_LAST")))*AO18))</f>
        <v>1699.833333333333</v>
      </c>
      <c r="AQ18" s="9" t="e">
        <f>S18/#REF!</f>
        <v>#REF!</v>
      </c>
      <c r="AR18" s="7">
        <f t="shared" si="8"/>
        <v>204034</v>
      </c>
      <c r="AS18" s="13">
        <f>IF((TEXT(_xll.BDP(AI18,"MATURITY"),"DD/MM/YYYY")="#N/A Field Not Applicable"),"Perp",_xll.BDP(AI18,"DS252"))</f>
        <v>16.878850102669404</v>
      </c>
      <c r="AT18" s="5" t="str">
        <f>(IF(_xll.BDP($AI18&amp;" ISIN","DT247")="Y","Yes","No"))</f>
        <v>No</v>
      </c>
      <c r="AU18" s="5" t="str">
        <f>PROPER(IF(OR(_xll.BDP($AI18,"CPN_TYP")="#n/a N/A",_xll.BDP($AI18,"CPN_TYP")= "#N/A FIELD NOT APPLICABLE"), " ", _xll.BDP($AI18,"CPN_TYP")))</f>
        <v>Fixed</v>
      </c>
      <c r="BG18" s="27" t="str">
        <f t="shared" si="9"/>
        <v>XS2542166744</v>
      </c>
      <c r="BH18" s="27">
        <v>0.56000000000000005</v>
      </c>
      <c r="BI18" s="28">
        <v>3</v>
      </c>
      <c r="BJ18" s="36">
        <v>45596</v>
      </c>
      <c r="BK18" s="30"/>
    </row>
    <row r="19" spans="1:63" s="15" customFormat="1" ht="14.45" customHeight="1" x14ac:dyDescent="0.25">
      <c r="A19" s="16" t="s">
        <v>137</v>
      </c>
      <c r="B19" s="16" t="s">
        <v>69</v>
      </c>
      <c r="C19" s="16" t="s">
        <v>70</v>
      </c>
      <c r="D19" s="16" t="s">
        <v>49</v>
      </c>
      <c r="E19" s="11" t="str">
        <f>_xll.BDP(AI19,"ds520")</f>
        <v>Greensaif Pipelines Bidco Sarl</v>
      </c>
      <c r="F19" s="11" t="str">
        <f>_xll.BDP(AI19,"crncy")</f>
        <v>USD</v>
      </c>
      <c r="G19" s="34" t="s">
        <v>59</v>
      </c>
      <c r="H19" s="11" t="str">
        <f>IF(_xll.BDP(AI19,"RTG_MOODY")="#N/A N/A","N/A",_xll.BDP(AI19,"RTG_MOODY"))&amp;","&amp;IF(_xll.BDP(AI19,"RTG_FITCH")="#N/A N/A","N/A",_xll.BDP(AI19,"RTG_FITCH"))&amp;","&amp;IF(_xll.BDP(AI19,"RTG_SP")="#N/A N/A","N/A",_xll.BDP(AI19,"RTG_SP"))</f>
        <v>Aa3,A+,N/A</v>
      </c>
      <c r="I19" s="5">
        <f>_xll.BDP(AI19,"cpn")/100</f>
        <v>6.5099999999999991E-2</v>
      </c>
      <c r="J19" s="5">
        <f ca="1">_xll.BDP($G19&amp;" isin","YAS_BOND_YLD", "YAS_YLD_FLAG=15", "user_local_trade_date",AN19,"Yas_bond_px",$Q19)/100</f>
        <v>6.3130169999999999E-2</v>
      </c>
      <c r="K19" s="11" t="str">
        <f>_xll.BDP(AI19,"PAYMENT_RANK")</f>
        <v>Secured</v>
      </c>
      <c r="L19" s="11" t="str">
        <f>IF((TEXT(_xll.BDP(AI19,"MATURITY"),"DD/MM/YYYY")="#N/A Field Not Applicable"),"Perp",TEXT(_xll.BDP(AI19,"MATURITY"),"DD/MM/YYYY"))</f>
        <v>23/02/2042</v>
      </c>
      <c r="M19" s="6">
        <f>(IF(_xll.BDP($AI19&amp;" ISIN","DU003")="#n/a n/a"," ",_xll.BDP($AI19&amp;" ISIN","DU003")))</f>
        <v>10.02467654063684</v>
      </c>
      <c r="N19" s="11" t="str">
        <f>IF(_xll.BDP(AI19,"CALLABLE")="Y",_xll.BDP(AI19,"NXT_CALL_DT")," ")</f>
        <v xml:space="preserve"> </v>
      </c>
      <c r="O19" s="35">
        <v>200000</v>
      </c>
      <c r="P19" s="34">
        <v>103.988</v>
      </c>
      <c r="Q19" s="13">
        <f>_xll.BDP(AI19,"px_bid")</f>
        <v>102.017</v>
      </c>
      <c r="R19" s="7">
        <f>IF(F19="USD",AG19,(((_xll.BDP(F19&amp;"USD CURNCY","PX_LAST")))*AG19))</f>
        <v>207976</v>
      </c>
      <c r="S19" s="7">
        <f>IF(F19="USD",AH19,(((_xll.BDP(F19&amp;"USD CURNCY","PX_LAST")))*AH19))+AP19</f>
        <v>205733.83333333334</v>
      </c>
      <c r="T19" s="8">
        <f t="shared" si="0"/>
        <v>-3942.0000000000073</v>
      </c>
      <c r="U19" s="9">
        <f t="shared" si="1"/>
        <v>-1.8954110089625761E-2</v>
      </c>
      <c r="V19" s="9" cm="1">
        <f t="array" ref="V19">IFERROR(_xll.BDP($G19&amp;" ISIN","CHG_PCT_1D")/100,"")</f>
        <v>-1.078303119091559E-3</v>
      </c>
      <c r="W19" s="9" cm="1">
        <f t="array" ref="W19">IFERROR(_xll.BDP($G19&amp;" ISIN","CHG_PCT_5D")/100,"")</f>
        <v>-2.0608642087318586E-2</v>
      </c>
      <c r="X19" s="9" cm="1">
        <f t="array" ref="X19">_xll.BDP($G19&amp;" ISIN","CHG_PCT_1M")/100</f>
        <v>-1.5721489683132233E-2</v>
      </c>
      <c r="Y19" s="9" cm="1">
        <f t="array" ref="Y19">_xll.BDP($G19&amp;" ISIN","CHG_PCT_3M")/100</f>
        <v>2.4339277562855925E-2</v>
      </c>
      <c r="Z19" s="9" cm="1">
        <f t="array" ref="Z19">_xll.BDP($G19&amp;" ISIN","CHG_PCT_6M")/100</f>
        <v>-3.2203693742155197E-2</v>
      </c>
      <c r="AA19" s="9" cm="1">
        <f t="array" ref="AA19">_xll.BDP($G19&amp;" ISIN","CHG_PCT_YTD")/100</f>
        <v>1.1804148224740534E-2</v>
      </c>
      <c r="AB19" s="9" t="e">
        <f t="shared" si="2"/>
        <v>#VALUE!</v>
      </c>
      <c r="AC19" s="12">
        <f t="shared" ca="1" si="3"/>
        <v>1808.4999999999918</v>
      </c>
      <c r="AD19" s="11" t="str">
        <f>_xll.BDP(AI19,"DS199")</f>
        <v>Energy</v>
      </c>
      <c r="AE19" s="13">
        <f>_xll.BDP(AI19,"px_ask")</f>
        <v>103.09</v>
      </c>
      <c r="AF19" s="12">
        <f>IF(F19="USD",O19,(((_xll.BDP(F19&amp;"USD CURNCY","PX_LAST")))*O19))</f>
        <v>200000</v>
      </c>
      <c r="AG19" s="7">
        <f t="shared" si="4"/>
        <v>207976</v>
      </c>
      <c r="AH19" s="7">
        <f t="shared" si="5"/>
        <v>204034</v>
      </c>
      <c r="AI19" s="11" t="str">
        <f t="shared" si="6"/>
        <v>XS2542166744 ISIN</v>
      </c>
      <c r="AJ19" s="11" t="e" cm="1">
        <f t="array" ref="AJ19">VLOOKUP(IF(NOT(_xll.BDP($G19&amp;" CORP",$CA$4)="#N/A N/A"),(_xll.BDP($G19&amp;" CORP",$CA$4)),"-"), '[1]Country Codes'!$A$2:$B$253,2,0)</f>
        <v>#N/A</v>
      </c>
      <c r="AK19" s="11" t="str" cm="1">
        <f t="array" ref="AK19">IF(OR(_xll.BDP($AI19,"EX028")= "#N/A N/A", _xll.BDP($AI19,"EX028")="#N/A FIELD NOT APPLICABLE"), " ", _xll.BDP($AI19,"EX028"))</f>
        <v>FixedIncome</v>
      </c>
      <c r="AL19" s="5" t="str">
        <f>(IF(_xll.BDP($AI19&amp;" ISIN","DZ282")="Y","Single line Bonds Cocos","Single line Bonds ex Cocos"))</f>
        <v>Single line Bonds ex Cocos</v>
      </c>
      <c r="AM19" s="6">
        <f>(IF(_xll.BDP($G19&amp;" ISIN","SP153")="#n/a n/a"," ",_xll.BDP($G19&amp;" ISIN","SP153")))</f>
        <v>242.97888107133605</v>
      </c>
      <c r="AN19" s="14">
        <f t="shared" ca="1" si="7"/>
        <v>45755</v>
      </c>
      <c r="AO19" s="7">
        <f>(((_xll.BDP(AI19,"DS032"))/360)*I19)*O19</f>
        <v>1699.833333333333</v>
      </c>
      <c r="AP19" s="7">
        <f>IF(F19="USD",AO19,(((_xll.BDP(F19&amp;"USD CURNCY","PX_LAST")))*AO19))</f>
        <v>1699.833333333333</v>
      </c>
      <c r="AQ19" s="9" t="e">
        <f>S19/$S$141</f>
        <v>#DIV/0!</v>
      </c>
      <c r="AR19" s="7">
        <f t="shared" si="8"/>
        <v>204034</v>
      </c>
      <c r="AS19" s="13">
        <f>IF((TEXT(_xll.BDP(AI19,"MATURITY"),"DD/MM/YYYY")="#N/A Field Not Applicable"),"Perp",_xll.BDP(AI19,"DS252"))</f>
        <v>16.878850102669404</v>
      </c>
      <c r="AT19" s="5" t="str">
        <f>(IF(_xll.BDP($AI19&amp;" ISIN","DT247")="Y","Yes","No"))</f>
        <v>No</v>
      </c>
      <c r="AU19" s="5" t="str">
        <f>PROPER(IF(OR(_xll.BDP($AI19,"CPN_TYP")="#n/a N/A",_xll.BDP($AI19,"CPN_TYP")= "#N/A FIELD NOT APPLICABLE"), " ", _xll.BDP($AI19,"CPN_TYP")))</f>
        <v>Fixed</v>
      </c>
      <c r="BG19" s="27" t="str">
        <f t="shared" si="9"/>
        <v>XS2542166744</v>
      </c>
      <c r="BH19" s="27">
        <v>0.62</v>
      </c>
      <c r="BI19" s="28">
        <v>4</v>
      </c>
      <c r="BJ19" s="36">
        <v>45596</v>
      </c>
      <c r="BK19" s="30">
        <v>1</v>
      </c>
    </row>
    <row r="20" spans="1:63" s="15" customFormat="1" ht="14.45" customHeight="1" x14ac:dyDescent="0.25">
      <c r="A20" s="16" t="s">
        <v>138</v>
      </c>
      <c r="B20" s="16" t="s">
        <v>72</v>
      </c>
      <c r="C20" s="16" t="s">
        <v>73</v>
      </c>
      <c r="D20" s="16" t="s">
        <v>53</v>
      </c>
      <c r="E20" s="11" t="str">
        <f>_xll.BDP(AI20,"ds520")</f>
        <v>Greensaif Pipelines Bidco Sarl</v>
      </c>
      <c r="F20" s="11" t="str">
        <f>_xll.BDP(AI20,"crncy")</f>
        <v>USD</v>
      </c>
      <c r="G20" s="34" t="s">
        <v>59</v>
      </c>
      <c r="H20" s="11" t="str">
        <f>IF(_xll.BDP(AI20,"RTG_MOODY")="#N/A N/A","N/A",_xll.BDP(AI20,"RTG_MOODY"))&amp;","&amp;IF(_xll.BDP(AI20,"RTG_FITCH")="#N/A N/A","N/A",_xll.BDP(AI20,"RTG_FITCH"))&amp;","&amp;IF(_xll.BDP(AI20,"RTG_SP")="#N/A N/A","N/A",_xll.BDP(AI20,"RTG_SP"))</f>
        <v>Aa3,A+,N/A</v>
      </c>
      <c r="I20" s="5">
        <f>_xll.BDP(AI20,"cpn")/100</f>
        <v>6.5099999999999991E-2</v>
      </c>
      <c r="J20" s="5">
        <f ca="1">_xll.BDP($G20&amp;" isin","YAS_BOND_YLD", "YAS_YLD_FLAG=15", "user_local_trade_date",AN20,"Yas_bond_px",$Q20)/100</f>
        <v>6.3130169999999999E-2</v>
      </c>
      <c r="K20" s="11" t="str">
        <f>_xll.BDP(AI20,"PAYMENT_RANK")</f>
        <v>Secured</v>
      </c>
      <c r="L20" s="11" t="str">
        <f>IF((TEXT(_xll.BDP(AI20,"MATURITY"),"DD/MM/YYYY")="#N/A Field Not Applicable"),"Perp",TEXT(_xll.BDP(AI20,"MATURITY"),"DD/MM/YYYY"))</f>
        <v>23/02/2042</v>
      </c>
      <c r="M20" s="6">
        <f>(IF(_xll.BDP($AI20&amp;" ISIN","DU003")="#n/a n/a"," ",_xll.BDP($AI20&amp;" ISIN","DU003")))</f>
        <v>10.02467654063684</v>
      </c>
      <c r="N20" s="11" t="str">
        <f>IF(_xll.BDP(AI20,"CALLABLE")="Y",_xll.BDP(AI20,"NXT_CALL_DT")," ")</f>
        <v xml:space="preserve"> </v>
      </c>
      <c r="O20" s="35">
        <v>300000</v>
      </c>
      <c r="P20" s="34">
        <v>103.753</v>
      </c>
      <c r="Q20" s="13">
        <f>_xll.BDP(AI20,"px_bid")</f>
        <v>102.017</v>
      </c>
      <c r="R20" s="7">
        <f>IF(F20="USD",AG20,(((_xll.BDP(F20&amp;"USD CURNCY","PX_LAST")))*AG20))</f>
        <v>311259</v>
      </c>
      <c r="S20" s="7">
        <f>IF(F20="USD",AH20,(((_xll.BDP(F20&amp;"USD CURNCY","PX_LAST")))*AH20))+AP20</f>
        <v>308600.75</v>
      </c>
      <c r="T20" s="8">
        <f t="shared" si="0"/>
        <v>-5208.0000000000127</v>
      </c>
      <c r="U20" s="9">
        <f t="shared" si="1"/>
        <v>-1.6732046302275639E-2</v>
      </c>
      <c r="V20" s="9" cm="1">
        <f t="array" ref="V20">IFERROR(_xll.BDP($G20&amp;" ISIN","CHG_PCT_1D")/100,"")</f>
        <v>-1.078303119091559E-3</v>
      </c>
      <c r="W20" s="9" cm="1">
        <f t="array" ref="W20">IFERROR(_xll.BDP($G20&amp;" ISIN","CHG_PCT_5D")/100,"")</f>
        <v>-2.0608642087318586E-2</v>
      </c>
      <c r="X20" s="9" cm="1">
        <f t="array" ref="X20">_xll.BDP($G20&amp;" ISIN","CHG_PCT_1M")/100</f>
        <v>-1.5721489683132233E-2</v>
      </c>
      <c r="Y20" s="9" cm="1">
        <f t="array" ref="Y20">_xll.BDP($G20&amp;" ISIN","CHG_PCT_3M")/100</f>
        <v>2.4339277562855925E-2</v>
      </c>
      <c r="Z20" s="9" cm="1">
        <f t="array" ref="Z20">_xll.BDP($G20&amp;" ISIN","CHG_PCT_6M")/100</f>
        <v>-3.2203693742155197E-2</v>
      </c>
      <c r="AA20" s="9" cm="1">
        <f t="array" ref="AA20">_xll.BDP($G20&amp;" ISIN","CHG_PCT_YTD")/100</f>
        <v>1.1804148224740534E-2</v>
      </c>
      <c r="AB20" s="9" t="e">
        <f t="shared" si="2"/>
        <v>#VALUE!</v>
      </c>
      <c r="AC20" s="12">
        <f t="shared" ca="1" si="3"/>
        <v>3417.7499999999854</v>
      </c>
      <c r="AD20" s="11" t="str">
        <f>_xll.BDP(AI20,"DS199")</f>
        <v>Energy</v>
      </c>
      <c r="AE20" s="13">
        <f>_xll.BDP(AI20,"px_ask")</f>
        <v>103.09</v>
      </c>
      <c r="AF20" s="12">
        <f>IF(F20="USD",O20,(((_xll.BDP(F20&amp;"USD CURNCY","PX_LAST")))*O20))</f>
        <v>300000</v>
      </c>
      <c r="AG20" s="7">
        <f t="shared" si="4"/>
        <v>311259</v>
      </c>
      <c r="AH20" s="7">
        <f t="shared" si="5"/>
        <v>306051</v>
      </c>
      <c r="AI20" s="11" t="str">
        <f t="shared" si="6"/>
        <v>XS2542166744 ISIN</v>
      </c>
      <c r="AJ20" s="11" t="e" cm="1">
        <f t="array" ref="AJ20">VLOOKUP(IF(NOT(_xll.BDP($G20&amp;" CORP",$CA$4)="#N/A N/A"),(_xll.BDP($G20&amp;" CORP",$CA$4)),"-"), '[1]Country Codes'!$A$2:$B$253,2,0)</f>
        <v>#N/A</v>
      </c>
      <c r="AK20" s="11" t="str" cm="1">
        <f t="array" ref="AK20">IF(OR(_xll.BDP($AI20,"EX028")= "#N/A N/A", _xll.BDP($AI20,"EX028")="#N/A FIELD NOT APPLICABLE"), " ", _xll.BDP($AI20,"EX028"))</f>
        <v>FixedIncome</v>
      </c>
      <c r="AL20" s="5" t="str">
        <f>(IF(_xll.BDP($AI20&amp;" ISIN","DZ282")="Y","Single line Bonds Cocos","Single line Bonds ex Cocos"))</f>
        <v>Single line Bonds ex Cocos</v>
      </c>
      <c r="AM20" s="6">
        <f>(IF(_xll.BDP($G20&amp;" ISIN","SP153")="#n/a n/a"," ",_xll.BDP($G20&amp;" ISIN","SP153")))</f>
        <v>242.97888107133605</v>
      </c>
      <c r="AN20" s="14">
        <f t="shared" ca="1" si="7"/>
        <v>45755</v>
      </c>
      <c r="AO20" s="7">
        <f>(((_xll.BDP(AI20,"DS032"))/360)*I20)*O20</f>
        <v>2549.7499999999995</v>
      </c>
      <c r="AP20" s="7">
        <f>IF(F20="USD",AO20,(((_xll.BDP(F20&amp;"USD CURNCY","PX_LAST")))*AO20))</f>
        <v>2549.7499999999995</v>
      </c>
      <c r="AQ20" s="9" t="e">
        <f>S20/$S$139</f>
        <v>#DIV/0!</v>
      </c>
      <c r="AR20" s="7">
        <f t="shared" si="8"/>
        <v>306051</v>
      </c>
      <c r="AS20" s="13">
        <f>IF((TEXT(_xll.BDP(AI20,"MATURITY"),"DD/MM/YYYY")="#N/A Field Not Applicable"),"Perp",_xll.BDP(AI20,"DS252"))</f>
        <v>16.878850102669404</v>
      </c>
      <c r="AT20" s="5" t="str">
        <f>(IF(_xll.BDP($AI20&amp;" ISIN","DT247")="Y","Yes","No"))</f>
        <v>No</v>
      </c>
      <c r="AU20" s="5" t="str">
        <f>PROPER(IF(OR(_xll.BDP($AI20,"CPN_TYP")="#n/a N/A",_xll.BDP($AI20,"CPN_TYP")= "#N/A FIELD NOT APPLICABLE"), " ", _xll.BDP($AI20,"CPN_TYP")))</f>
        <v>Fixed</v>
      </c>
      <c r="BG20" s="27" t="str">
        <f t="shared" si="9"/>
        <v>XS2542166744</v>
      </c>
      <c r="BH20" s="27">
        <f>VLOOKUP(BG20,'[2]Portefeuille 4380430'!$B$3:$G$38,6,0)</f>
        <v>0.56000000000000005</v>
      </c>
      <c r="BI20" s="28">
        <v>3</v>
      </c>
      <c r="BJ20" s="36">
        <v>45596</v>
      </c>
      <c r="BK20" s="30"/>
    </row>
    <row r="21" spans="1:63" s="15" customFormat="1" ht="14.45" customHeight="1" x14ac:dyDescent="0.25">
      <c r="A21" s="16" t="s">
        <v>137</v>
      </c>
      <c r="B21" s="16" t="s">
        <v>79</v>
      </c>
      <c r="C21" s="16" t="s">
        <v>80</v>
      </c>
      <c r="D21" s="16" t="s">
        <v>49</v>
      </c>
      <c r="E21" s="11" t="str">
        <f>_xll.BDP(AI21,"ds520")</f>
        <v>Greensaif Pipelines Bidco Sarl</v>
      </c>
      <c r="F21" s="11" t="str">
        <f>_xll.BDP(AI21,"crncy")</f>
        <v>USD</v>
      </c>
      <c r="G21" s="34" t="s">
        <v>59</v>
      </c>
      <c r="H21" s="11" t="str">
        <f>IF(_xll.BDP(AI21,"RTG_MOODY")="#N/A N/A","N/A",_xll.BDP(AI21,"RTG_MOODY"))&amp;","&amp;IF(_xll.BDP(AI21,"RTG_FITCH")="#N/A N/A","N/A",_xll.BDP(AI21,"RTG_FITCH"))&amp;","&amp;IF(_xll.BDP(AI21,"RTG_SP")="#N/A N/A","N/A",_xll.BDP(AI21,"RTG_SP"))</f>
        <v>Aa3,A+,N/A</v>
      </c>
      <c r="I21" s="5">
        <f>_xll.BDP(AI21,"cpn")/100</f>
        <v>6.5099999999999991E-2</v>
      </c>
      <c r="J21" s="5">
        <f ca="1">_xll.BDP($G21&amp;" isin","YAS_BOND_YLD", "YAS_YLD_FLAG=15", "user_local_trade_date",AN21,"Yas_bond_px",$Q21)/100</f>
        <v>6.3130169999999999E-2</v>
      </c>
      <c r="K21" s="11" t="str">
        <f>_xll.BDP(AI21,"PAYMENT_RANK")</f>
        <v>Secured</v>
      </c>
      <c r="L21" s="11" t="str">
        <f>IF((TEXT(_xll.BDP(AI21,"MATURITY"),"DD/MM/YYYY")="#N/A Field Not Applicable"),"Perp",TEXT(_xll.BDP(AI21,"MATURITY"),"DD/MM/YYYY"))</f>
        <v>23/02/2042</v>
      </c>
      <c r="M21" s="6">
        <f>(IF(_xll.BDP($AI21&amp;" ISIN","DU003")="#n/a n/a"," ",_xll.BDP($AI21&amp;" ISIN","DU003")))</f>
        <v>10.02467654063684</v>
      </c>
      <c r="N21" s="11" t="str">
        <f>IF(_xll.BDP(AI21,"CALLABLE")="Y",_xll.BDP(AI21,"NXT_CALL_DT")," ")</f>
        <v xml:space="preserve"> </v>
      </c>
      <c r="O21" s="35">
        <v>200000</v>
      </c>
      <c r="P21" s="34">
        <v>103.988</v>
      </c>
      <c r="Q21" s="13">
        <f>_xll.BDP(AI21,"px_bid")</f>
        <v>102.017</v>
      </c>
      <c r="R21" s="7">
        <f>IF(F21="USD",AG21,(((_xll.BDP(F21&amp;"USD CURNCY","PX_LAST")))*AG21))</f>
        <v>207976</v>
      </c>
      <c r="S21" s="7">
        <f>IF(F21="USD",AH21,(((_xll.BDP(F21&amp;"USD CURNCY","PX_LAST")))*AH21))+AP21</f>
        <v>205733.83333333334</v>
      </c>
      <c r="T21" s="8">
        <f t="shared" si="0"/>
        <v>-3942.0000000000073</v>
      </c>
      <c r="U21" s="9">
        <f t="shared" si="1"/>
        <v>-1.8954110089625761E-2</v>
      </c>
      <c r="V21" s="9" cm="1">
        <f t="array" ref="V21">IFERROR(_xll.BDP($G21&amp;" ISIN","CHG_PCT_1D")/100,"")</f>
        <v>-1.078303119091559E-3</v>
      </c>
      <c r="W21" s="9" cm="1">
        <f t="array" ref="W21">IFERROR(_xll.BDP($G21&amp;" ISIN","CHG_PCT_5D")/100,"")</f>
        <v>-2.0608642087318586E-2</v>
      </c>
      <c r="X21" s="9" cm="1">
        <f t="array" ref="X21">_xll.BDP($G21&amp;" ISIN","CHG_PCT_1M")/100</f>
        <v>-1.5721489683132233E-2</v>
      </c>
      <c r="Y21" s="9" cm="1">
        <f t="array" ref="Y21">_xll.BDP($G21&amp;" ISIN","CHG_PCT_3M")/100</f>
        <v>2.4339277562855925E-2</v>
      </c>
      <c r="Z21" s="9" cm="1">
        <f t="array" ref="Z21">_xll.BDP($G21&amp;" ISIN","CHG_PCT_6M")/100</f>
        <v>-3.2203693742155197E-2</v>
      </c>
      <c r="AA21" s="9" cm="1">
        <f t="array" ref="AA21">_xll.BDP($G21&amp;" ISIN","CHG_PCT_YTD")/100</f>
        <v>1.1804148224740534E-2</v>
      </c>
      <c r="AB21" s="9" t="e">
        <f t="shared" si="2"/>
        <v>#VALUE!</v>
      </c>
      <c r="AC21" s="12">
        <f t="shared" ca="1" si="3"/>
        <v>1808.4999999999918</v>
      </c>
      <c r="AD21" s="11" t="str">
        <f>_xll.BDP(AI21,"DS199")</f>
        <v>Energy</v>
      </c>
      <c r="AE21" s="13">
        <f>_xll.BDP(AI21,"px_ask")</f>
        <v>103.09</v>
      </c>
      <c r="AF21" s="12">
        <f>IF(F21="USD",O21,(((_xll.BDP(F21&amp;"USD CURNCY","PX_LAST")))*O21))</f>
        <v>200000</v>
      </c>
      <c r="AG21" s="7">
        <f t="shared" si="4"/>
        <v>207976</v>
      </c>
      <c r="AH21" s="7">
        <f t="shared" si="5"/>
        <v>204034</v>
      </c>
      <c r="AI21" s="11" t="str">
        <f t="shared" si="6"/>
        <v>XS2542166744 ISIN</v>
      </c>
      <c r="AJ21" s="11" t="e" cm="1">
        <f t="array" ref="AJ21">VLOOKUP(IF(NOT(_xll.BDP($G21&amp;" CORP",$CA$4)="#N/A N/A"),(_xll.BDP($G21&amp;" CORP",$CA$4)),"-"), '[1]Country Codes'!$A$2:$B$253,2,0)</f>
        <v>#N/A</v>
      </c>
      <c r="AK21" s="11" t="str" cm="1">
        <f t="array" ref="AK21">IF(OR(_xll.BDP($AI21,"EX028")= "#N/A N/A", _xll.BDP($AI21,"EX028")="#N/A FIELD NOT APPLICABLE"), " ", _xll.BDP($AI21,"EX028"))</f>
        <v>FixedIncome</v>
      </c>
      <c r="AL21" s="5" t="str">
        <f>(IF(_xll.BDP($AI21&amp;" ISIN","DZ282")="Y","Single line Bonds Cocos","Single line Bonds ex Cocos"))</f>
        <v>Single line Bonds ex Cocos</v>
      </c>
      <c r="AM21" s="6">
        <f>(IF(_xll.BDP($G21&amp;" ISIN","SP153")="#n/a n/a"," ",_xll.BDP($G21&amp;" ISIN","SP153")))</f>
        <v>242.97888107133605</v>
      </c>
      <c r="AN21" s="14">
        <f t="shared" ca="1" si="7"/>
        <v>45755</v>
      </c>
      <c r="AO21" s="7">
        <f>(((_xll.BDP(AI21,"DS032"))/360)*I21)*O21</f>
        <v>1699.833333333333</v>
      </c>
      <c r="AP21" s="7">
        <f>IF(F21="USD",AO21,(((_xll.BDP(F21&amp;"USD CURNCY","PX_LAST")))*AO21))</f>
        <v>1699.833333333333</v>
      </c>
      <c r="AQ21" s="9" t="e">
        <f>S21/$S$137</f>
        <v>#DIV/0!</v>
      </c>
      <c r="AR21" s="7">
        <f t="shared" si="8"/>
        <v>204034</v>
      </c>
      <c r="AS21" s="13">
        <f>IF((TEXT(_xll.BDP(AI21,"MATURITY"),"DD/MM/YYYY")="#N/A Field Not Applicable"),"Perp",_xll.BDP(AI21,"DS252"))</f>
        <v>16.878850102669404</v>
      </c>
      <c r="AT21" s="5" t="str">
        <f>(IF(_xll.BDP($AI21&amp;" ISIN","DT247")="Y","Yes","No"))</f>
        <v>No</v>
      </c>
      <c r="AU21" s="5" t="str">
        <f>PROPER(IF(OR(_xll.BDP($AI21,"CPN_TYP")="#n/a N/A",_xll.BDP($AI21,"CPN_TYP")= "#N/A FIELD NOT APPLICABLE"), " ", _xll.BDP($AI21,"CPN_TYP")))</f>
        <v>Fixed</v>
      </c>
      <c r="BG21" s="27" t="str">
        <f t="shared" si="9"/>
        <v>XS2542166744</v>
      </c>
      <c r="BH21" s="27">
        <v>0.82</v>
      </c>
      <c r="BI21" s="28">
        <v>3</v>
      </c>
      <c r="BJ21" s="36">
        <v>45596</v>
      </c>
      <c r="BK21" s="30">
        <v>1</v>
      </c>
    </row>
    <row r="22" spans="1:63" s="15" customFormat="1" ht="14.45" customHeight="1" x14ac:dyDescent="0.25">
      <c r="A22" s="16" t="s">
        <v>137</v>
      </c>
      <c r="B22" s="16" t="s">
        <v>86</v>
      </c>
      <c r="C22" s="16" t="s">
        <v>87</v>
      </c>
      <c r="D22" s="16" t="s">
        <v>49</v>
      </c>
      <c r="E22" s="11" t="str">
        <f>_xll.BDP(AI22,"ds520")</f>
        <v>Greensaif Pipelines Bidco Sarl</v>
      </c>
      <c r="F22" s="11" t="str">
        <f>_xll.BDP(AI22,"crncy")</f>
        <v>USD</v>
      </c>
      <c r="G22" s="34" t="s">
        <v>59</v>
      </c>
      <c r="H22" s="11" t="str">
        <f>IF(_xll.BDP(AI22,"RTG_MOODY")="#N/A N/A","N/A",_xll.BDP(AI22,"RTG_MOODY"))&amp;","&amp;IF(_xll.BDP(AI22,"RTG_FITCH")="#N/A N/A","N/A",_xll.BDP(AI22,"RTG_FITCH"))&amp;","&amp;IF(_xll.BDP(AI22,"RTG_SP")="#N/A N/A","N/A",_xll.BDP(AI22,"RTG_SP"))</f>
        <v>Aa3,A+,N/A</v>
      </c>
      <c r="I22" s="5">
        <f>_xll.BDP(AI22,"cpn")/100</f>
        <v>6.5099999999999991E-2</v>
      </c>
      <c r="J22" s="5">
        <f ca="1">_xll.BDP($G22&amp;" isin","YAS_BOND_YLD", "YAS_YLD_FLAG=15", "user_local_trade_date",AN22,"Yas_bond_px",$Q22)/100</f>
        <v>6.3130169999999999E-2</v>
      </c>
      <c r="K22" s="11" t="str">
        <f>_xll.BDP(AI22,"PAYMENT_RANK")</f>
        <v>Secured</v>
      </c>
      <c r="L22" s="11" t="str">
        <f>IF((TEXT(_xll.BDP(AI22,"MATURITY"),"DD/MM/YYYY")="#N/A Field Not Applicable"),"Perp",TEXT(_xll.BDP(AI22,"MATURITY"),"DD/MM/YYYY"))</f>
        <v>23/02/2042</v>
      </c>
      <c r="M22" s="6">
        <f>(IF(_xll.BDP($AI22&amp;" ISIN","DU003")="#n/a n/a"," ",_xll.BDP($AI22&amp;" ISIN","DU003")))</f>
        <v>10.02467654063684</v>
      </c>
      <c r="N22" s="11" t="str">
        <f>IF(_xll.BDP(AI22,"CALLABLE")="Y",_xll.BDP(AI22,"NXT_CALL_DT")," ")</f>
        <v xml:space="preserve"> </v>
      </c>
      <c r="O22" s="35">
        <v>200000</v>
      </c>
      <c r="P22" s="34">
        <v>103.988</v>
      </c>
      <c r="Q22" s="13">
        <f>_xll.BDP(AI22,"px_bid")</f>
        <v>102.017</v>
      </c>
      <c r="R22" s="7">
        <f>IF(F22="USD",AG22,(((_xll.BDP(F22&amp;"USD CURNCY","PX_LAST")))*AG22))</f>
        <v>207976</v>
      </c>
      <c r="S22" s="7">
        <f>IF(F22="USD",AH22,(((_xll.BDP(F22&amp;"USD CURNCY","PX_LAST")))*AH22))+AP22</f>
        <v>205733.83333333334</v>
      </c>
      <c r="T22" s="8">
        <f t="shared" si="0"/>
        <v>-3942.0000000000073</v>
      </c>
      <c r="U22" s="9">
        <f t="shared" si="1"/>
        <v>-1.8954110089625761E-2</v>
      </c>
      <c r="V22" s="9" cm="1">
        <f t="array" ref="V22">IFERROR(_xll.BDP($G22&amp;" ISIN","CHG_PCT_1D")/100,"")</f>
        <v>-1.078303119091559E-3</v>
      </c>
      <c r="W22" s="9" cm="1">
        <f t="array" ref="W22">IFERROR(_xll.BDP($G22&amp;" ISIN","CHG_PCT_5D")/100,"")</f>
        <v>-2.0608642087318586E-2</v>
      </c>
      <c r="X22" s="9" cm="1">
        <f t="array" ref="X22">_xll.BDP($G22&amp;" ISIN","CHG_PCT_1M")/100</f>
        <v>-1.5721489683132233E-2</v>
      </c>
      <c r="Y22" s="9" cm="1">
        <f t="array" ref="Y22">_xll.BDP($G22&amp;" ISIN","CHG_PCT_3M")/100</f>
        <v>2.4339277562855925E-2</v>
      </c>
      <c r="Z22" s="9" cm="1">
        <f t="array" ref="Z22">_xll.BDP($G22&amp;" ISIN","CHG_PCT_6M")/100</f>
        <v>-3.2203693742155197E-2</v>
      </c>
      <c r="AA22" s="9" cm="1">
        <f t="array" ref="AA22">_xll.BDP($G22&amp;" ISIN","CHG_PCT_YTD")/100</f>
        <v>1.1804148224740534E-2</v>
      </c>
      <c r="AB22" s="9" t="e">
        <f t="shared" si="2"/>
        <v>#VALUE!</v>
      </c>
      <c r="AC22" s="12">
        <f t="shared" ca="1" si="3"/>
        <v>1808.4999999999918</v>
      </c>
      <c r="AD22" s="11" t="str">
        <f>_xll.BDP(AI22,"DS199")</f>
        <v>Energy</v>
      </c>
      <c r="AE22" s="13">
        <f>_xll.BDP(AI22,"px_ask")</f>
        <v>103.09</v>
      </c>
      <c r="AF22" s="12">
        <f>IF(F22="USD",O22,(((_xll.BDP(F22&amp;"USD CURNCY","PX_LAST")))*O22))</f>
        <v>200000</v>
      </c>
      <c r="AG22" s="7">
        <f t="shared" si="4"/>
        <v>207976</v>
      </c>
      <c r="AH22" s="7">
        <f t="shared" si="5"/>
        <v>204034</v>
      </c>
      <c r="AI22" s="11" t="str">
        <f t="shared" si="6"/>
        <v>XS2542166744 ISIN</v>
      </c>
      <c r="AJ22" s="11" t="e" cm="1">
        <f t="array" ref="AJ22">VLOOKUP(IF(NOT(_xll.BDP($G22&amp;" CORP",$CA$4)="#N/A N/A"),(_xll.BDP($G22&amp;" CORP",$CA$4)),"-"), '[1]Country Codes'!$A$2:$B$253,2,0)</f>
        <v>#N/A</v>
      </c>
      <c r="AK22" s="11" t="str" cm="1">
        <f t="array" ref="AK22">IF(OR(_xll.BDP($AI22,"EX028")= "#N/A N/A", _xll.BDP($AI22,"EX028")="#N/A FIELD NOT APPLICABLE"), " ", _xll.BDP($AI22,"EX028"))</f>
        <v>FixedIncome</v>
      </c>
      <c r="AL22" s="5" t="str">
        <f>(IF(_xll.BDP($AI22&amp;" ISIN","DZ282")="Y","Single line Bonds Cocos","Single line Bonds ex Cocos"))</f>
        <v>Single line Bonds ex Cocos</v>
      </c>
      <c r="AM22" s="6">
        <f>(IF(_xll.BDP($G22&amp;" ISIN","SP153")="#n/a n/a"," ",_xll.BDP($G22&amp;" ISIN","SP153")))</f>
        <v>242.97888107133605</v>
      </c>
      <c r="AN22" s="14">
        <f t="shared" ca="1" si="7"/>
        <v>45755</v>
      </c>
      <c r="AO22" s="7">
        <f>(((_xll.BDP(AI22,"DS032"))/360)*I22)*O22</f>
        <v>1699.833333333333</v>
      </c>
      <c r="AP22" s="7">
        <f>IF(F22="USD",AO22,(((_xll.BDP(F22&amp;"USD CURNCY","PX_LAST")))*AO22))</f>
        <v>1699.833333333333</v>
      </c>
      <c r="AQ22" s="9" t="e">
        <f>S22/$S$141</f>
        <v>#DIV/0!</v>
      </c>
      <c r="AR22" s="7">
        <f t="shared" si="8"/>
        <v>204034</v>
      </c>
      <c r="AS22" s="13">
        <f>IF((TEXT(_xll.BDP(AI22,"MATURITY"),"DD/MM/YYYY")="#N/A Field Not Applicable"),"Perp",_xll.BDP(AI22,"DS252"))</f>
        <v>16.878850102669404</v>
      </c>
      <c r="AT22" s="5" t="str">
        <f>(IF(_xll.BDP($AI22&amp;" ISIN","DT247")="Y","Yes","No"))</f>
        <v>No</v>
      </c>
      <c r="AU22" s="5" t="str">
        <f>PROPER(IF(OR(_xll.BDP($AI22,"CPN_TYP")="#n/a N/A",_xll.BDP($AI22,"CPN_TYP")= "#N/A FIELD NOT APPLICABLE"), " ", _xll.BDP($AI22,"CPN_TYP")))</f>
        <v>Fixed</v>
      </c>
      <c r="BG22" s="27" t="str">
        <f t="shared" si="9"/>
        <v>XS2542166744</v>
      </c>
      <c r="BH22" s="27">
        <v>0.82</v>
      </c>
      <c r="BI22" s="28" t="s">
        <v>60</v>
      </c>
      <c r="BJ22" s="36">
        <v>45596</v>
      </c>
      <c r="BK22" s="30">
        <v>1</v>
      </c>
    </row>
    <row r="23" spans="1:63" s="15" customFormat="1" ht="14.45" customHeight="1" x14ac:dyDescent="0.25">
      <c r="A23" s="16" t="s">
        <v>138</v>
      </c>
      <c r="B23" s="16" t="s">
        <v>51</v>
      </c>
      <c r="C23" s="16" t="s">
        <v>52</v>
      </c>
      <c r="D23" s="16" t="s">
        <v>53</v>
      </c>
      <c r="E23" s="11" t="str">
        <f>_xll.BDP(AI23,"ds520")</f>
        <v>Oman Government International Bond</v>
      </c>
      <c r="F23" s="11" t="str">
        <f>_xll.BDP(AI23,"crncy")</f>
        <v>USD</v>
      </c>
      <c r="G23" s="34" t="s">
        <v>55</v>
      </c>
      <c r="H23" s="11" t="str">
        <f>IF(_xll.BDP(AI23,"RTG_MOODY")="#N/A N/A","N/A",_xll.BDP(AI23,"RTG_MOODY"))&amp;","&amp;IF(_xll.BDP(AI23,"RTG_FITCH")="#N/A N/A","N/A",_xll.BDP(AI23,"RTG_FITCH"))&amp;","&amp;IF(_xll.BDP(AI23,"RTG_SP")="#N/A N/A","N/A",_xll.BDP(AI23,"RTG_SP"))</f>
        <v>Ba1,BB+,BBB-</v>
      </c>
      <c r="I23" s="5">
        <f>_xll.BDP(AI23,"cpn")/100</f>
        <v>6.5000000000000002E-2</v>
      </c>
      <c r="J23" s="5">
        <f ca="1">_xll.BDP($G23&amp;" isin","YAS_BOND_YLD", "YAS_YLD_FLAG=15", "user_local_trade_date",AN23,"Yas_bond_px",$Q23)/100</f>
        <v>6.6594329999999993E-2</v>
      </c>
      <c r="K23" s="11" t="str">
        <f>_xll.BDP(AI23,"PAYMENT_RANK")</f>
        <v>Sr Unsecured</v>
      </c>
      <c r="L23" s="11" t="str">
        <f>IF((TEXT(_xll.BDP(AI23,"MATURITY"),"DD/MM/YYYY")="#N/A Field Not Applicable"),"Perp",TEXT(_xll.BDP(AI23,"MATURITY"),"DD/MM/YYYY"))</f>
        <v>08/03/2047</v>
      </c>
      <c r="M23" s="6">
        <f>(IF(_xll.BDP($AI23&amp;" ISIN","DU003")="#n/a n/a"," ",_xll.BDP($AI23&amp;" ISIN","DU003")))</f>
        <v>11.837853361879842</v>
      </c>
      <c r="N23" s="11" t="str">
        <f>IF(_xll.BDP(AI23,"CALLABLE")="Y",_xll.BDP(AI23,"NXT_CALL_DT")," ")</f>
        <v xml:space="preserve"> </v>
      </c>
      <c r="O23" s="35">
        <v>300000</v>
      </c>
      <c r="P23" s="34">
        <v>99.406000000000006</v>
      </c>
      <c r="Q23" s="13">
        <f>_xll.BDP(AI23,"px_bid")</f>
        <v>98.168000000000006</v>
      </c>
      <c r="R23" s="7">
        <f>IF(F23="USD",AG23,(((_xll.BDP(F23&amp;"USD CURNCY","PX_LAST")))*AG23))</f>
        <v>298218</v>
      </c>
      <c r="S23" s="7">
        <f>IF(F23="USD",AH23,(((_xll.BDP(F23&amp;"USD CURNCY","PX_LAST")))*AH23))+AP23</f>
        <v>296237.33333333337</v>
      </c>
      <c r="T23" s="8">
        <f t="shared" si="0"/>
        <v>-3713.9999999999986</v>
      </c>
      <c r="U23" s="9">
        <f t="shared" si="1"/>
        <v>-1.2453976621129504E-2</v>
      </c>
      <c r="V23" s="9" cm="1">
        <f t="array" ref="V23">IFERROR(_xll.BDP($G23&amp;" ISIN","CHG_PCT_1D")/100,"")</f>
        <v>9.8497957344855815E-3</v>
      </c>
      <c r="W23" s="9" cm="1">
        <f t="array" ref="W23">IFERROR(_xll.BDP($G23&amp;" ISIN","CHG_PCT_5D")/100,"")</f>
        <v>-3.1196896026717762E-2</v>
      </c>
      <c r="X23" s="9" cm="1">
        <f t="array" ref="X23">_xll.BDP($G23&amp;" ISIN","CHG_PCT_1M")/100</f>
        <v>-3.5507529825933894E-2</v>
      </c>
      <c r="Y23" s="9" cm="1">
        <f t="array" ref="Y23">_xll.BDP($G23&amp;" ISIN","CHG_PCT_3M")/100</f>
        <v>1.0273902444021061E-2</v>
      </c>
      <c r="Z23" s="9" cm="1">
        <f t="array" ref="Z23">_xll.BDP($G23&amp;" ISIN","CHG_PCT_6M")/100</f>
        <v>-5.4725462195343966E-2</v>
      </c>
      <c r="AA23" s="9" cm="1">
        <f t="array" ref="AA23">_xll.BDP($G23&amp;" ISIN","CHG_PCT_YTD")/100</f>
        <v>-3.5361036179391014E-3</v>
      </c>
      <c r="AB23" s="9" t="e">
        <f t="shared" si="2"/>
        <v>#VALUE!</v>
      </c>
      <c r="AC23" s="12">
        <f t="shared" ca="1" si="3"/>
        <v>12969.333333333334</v>
      </c>
      <c r="AD23" s="11" t="str">
        <f>_xll.BDP(AI23,"DS199")</f>
        <v>Government</v>
      </c>
      <c r="AE23" s="13">
        <f>_xll.BDP(AI23,"px_ask")</f>
        <v>99.088999999999999</v>
      </c>
      <c r="AF23" s="12">
        <f>IF(F23="USD",O23,(((_xll.BDP(F23&amp;"USD CURNCY","PX_LAST")))*O23))</f>
        <v>300000</v>
      </c>
      <c r="AG23" s="7">
        <f t="shared" si="4"/>
        <v>298218</v>
      </c>
      <c r="AH23" s="7">
        <f t="shared" si="5"/>
        <v>294504.00000000006</v>
      </c>
      <c r="AI23" s="11" t="str">
        <f t="shared" si="6"/>
        <v>XS1575968026 ISIN</v>
      </c>
      <c r="AJ23" s="11" t="e" cm="1">
        <f t="array" ref="AJ23">VLOOKUP(IF(NOT(_xll.BDP($G23&amp;" CORP",$CA$4)="#N/A N/A"),(_xll.BDP($G23&amp;" CORP",$CA$4)),"-"), '[1]Country Codes'!$A$2:$B$253,2,0)</f>
        <v>#N/A</v>
      </c>
      <c r="AK23" s="11" t="str" cm="1">
        <f t="array" ref="AK23">IF(OR(_xll.BDP($AI23,"EX028")= "#N/A N/A", _xll.BDP($AI23,"EX028")="#N/A FIELD NOT APPLICABLE"), " ", _xll.BDP($AI23,"EX028"))</f>
        <v>FixedIncome</v>
      </c>
      <c r="AL23" s="5" t="str">
        <f>(IF(_xll.BDP($AI23&amp;" ISIN","DZ282")="Y","Single line Bonds Cocos","Single line Bonds ex Cocos"))</f>
        <v>Single line Bonds ex Cocos</v>
      </c>
      <c r="AM23" s="6">
        <f>(IF(_xll.BDP($G23&amp;" ISIN","SP153")="#n/a n/a"," ",_xll.BDP($G23&amp;" ISIN","SP153")))</f>
        <v>278.17881733263982</v>
      </c>
      <c r="AN23" s="14">
        <f t="shared" ca="1" si="7"/>
        <v>45755</v>
      </c>
      <c r="AO23" s="7">
        <f>(((_xll.BDP(AI23,"DS032"))/360)*I23)*O23</f>
        <v>1733.3333333333335</v>
      </c>
      <c r="AP23" s="7">
        <f>IF(F23="USD",AO23,(((_xll.BDP(F23&amp;"USD CURNCY","PX_LAST")))*AO23))</f>
        <v>1733.3333333333335</v>
      </c>
      <c r="AQ23" s="9" t="e">
        <f>S23/#REF!</f>
        <v>#REF!</v>
      </c>
      <c r="AR23" s="7">
        <f t="shared" si="8"/>
        <v>294504.00000000006</v>
      </c>
      <c r="AS23" s="13">
        <f>IF((TEXT(_xll.BDP(AI23,"MATURITY"),"DD/MM/YYYY")="#N/A Field Not Applicable"),"Perp",_xll.BDP(AI23,"DS252"))</f>
        <v>21.913757700205338</v>
      </c>
      <c r="AT23" s="5" t="str">
        <f>(IF(_xll.BDP($AI23&amp;" ISIN","DT247")="Y","Yes","No"))</f>
        <v>No</v>
      </c>
      <c r="AU23" s="5" t="str">
        <f>PROPER(IF(OR(_xll.BDP($AI23,"CPN_TYP")="#n/a N/A",_xll.BDP($AI23,"CPN_TYP")= "#N/A FIELD NOT APPLICABLE"), " ", _xll.BDP($AI23,"CPN_TYP")))</f>
        <v>Fixed</v>
      </c>
      <c r="BG23" s="27" t="str">
        <f t="shared" si="9"/>
        <v>XS1575968026</v>
      </c>
      <c r="BH23" s="27">
        <v>0.59</v>
      </c>
      <c r="BI23" s="28">
        <v>3</v>
      </c>
      <c r="BJ23" s="36">
        <v>45447</v>
      </c>
      <c r="BK23" s="30"/>
    </row>
    <row r="24" spans="1:63" s="15" customFormat="1" ht="14.45" customHeight="1" x14ac:dyDescent="0.25">
      <c r="A24" s="16" t="s">
        <v>138</v>
      </c>
      <c r="B24" s="16" t="s">
        <v>61</v>
      </c>
      <c r="C24" s="16" t="s">
        <v>62</v>
      </c>
      <c r="D24" s="16" t="s">
        <v>53</v>
      </c>
      <c r="E24" s="11" t="str">
        <f>_xll.BDP(AI24,"ds520")</f>
        <v>Oman Government International Bond</v>
      </c>
      <c r="F24" s="11" t="str">
        <f>_xll.BDP(AI24,"crncy")</f>
        <v>USD</v>
      </c>
      <c r="G24" s="34" t="s">
        <v>55</v>
      </c>
      <c r="H24" s="11" t="str">
        <f>IF(_xll.BDP(AI24,"RTG_MOODY")="#N/A N/A","N/A",_xll.BDP(AI24,"RTG_MOODY"))&amp;","&amp;IF(_xll.BDP(AI24,"RTG_FITCH")="#N/A N/A","N/A",_xll.BDP(AI24,"RTG_FITCH"))&amp;","&amp;IF(_xll.BDP(AI24,"RTG_SP")="#N/A N/A","N/A",_xll.BDP(AI24,"RTG_SP"))</f>
        <v>Ba1,BB+,BBB-</v>
      </c>
      <c r="I24" s="5">
        <f>_xll.BDP(AI24,"cpn")/100</f>
        <v>6.5000000000000002E-2</v>
      </c>
      <c r="J24" s="5">
        <f ca="1">_xll.BDP($G24&amp;" isin","YAS_BOND_YLD", "YAS_YLD_FLAG=15", "user_local_trade_date",AN24,"Yas_bond_px",$Q24)/100</f>
        <v>6.6594329999999993E-2</v>
      </c>
      <c r="K24" s="11" t="str">
        <f>_xll.BDP(AI24,"PAYMENT_RANK")</f>
        <v>Sr Unsecured</v>
      </c>
      <c r="L24" s="11" t="str">
        <f>IF((TEXT(_xll.BDP(AI24,"MATURITY"),"DD/MM/YYYY")="#N/A Field Not Applicable"),"Perp",TEXT(_xll.BDP(AI24,"MATURITY"),"DD/MM/YYYY"))</f>
        <v>08/03/2047</v>
      </c>
      <c r="M24" s="6">
        <f>(IF(_xll.BDP($AI24&amp;" ISIN","DU003")="#n/a n/a"," ",_xll.BDP($AI24&amp;" ISIN","DU003")))</f>
        <v>11.837853361879842</v>
      </c>
      <c r="N24" s="11" t="str">
        <f>IF(_xll.BDP(AI24,"CALLABLE")="Y",_xll.BDP(AI24,"NXT_CALL_DT")," ")</f>
        <v xml:space="preserve"> </v>
      </c>
      <c r="O24" s="35">
        <v>200000</v>
      </c>
      <c r="P24" s="34">
        <v>99.043999999999997</v>
      </c>
      <c r="Q24" s="13">
        <f>_xll.BDP(AI24,"px_bid")</f>
        <v>98.168000000000006</v>
      </c>
      <c r="R24" s="7">
        <f>IF(F24="USD",AG24,(((_xll.BDP(F24&amp;"USD CURNCY","PX_LAST")))*AG24))</f>
        <v>198088</v>
      </c>
      <c r="S24" s="7">
        <f>IF(F24="USD",AH24,(((_xll.BDP(F24&amp;"USD CURNCY","PX_LAST")))*AH24))+AP24</f>
        <v>197491.55555555556</v>
      </c>
      <c r="T24" s="8">
        <f t="shared" si="0"/>
        <v>-1751.9999999999811</v>
      </c>
      <c r="U24" s="9">
        <f t="shared" si="1"/>
        <v>-8.8445539356244753E-3</v>
      </c>
      <c r="V24" s="9" cm="1">
        <f t="array" ref="V24">IFERROR(_xll.BDP($G24&amp;" ISIN","CHG_PCT_1D")/100,"")</f>
        <v>9.8497957344855815E-3</v>
      </c>
      <c r="W24" s="9" cm="1">
        <f t="array" ref="W24">IFERROR(_xll.BDP($G24&amp;" ISIN","CHG_PCT_5D")/100,"")</f>
        <v>-3.1196896026717762E-2</v>
      </c>
      <c r="X24" s="9" cm="1">
        <f t="array" ref="X24">_xll.BDP($G24&amp;" ISIN","CHG_PCT_1M")/100</f>
        <v>-3.5507529825933894E-2</v>
      </c>
      <c r="Y24" s="9" cm="1">
        <f t="array" ref="Y24">_xll.BDP($G24&amp;" ISIN","CHG_PCT_3M")/100</f>
        <v>1.0273902444021061E-2</v>
      </c>
      <c r="Z24" s="9" cm="1">
        <f t="array" ref="Z24">_xll.BDP($G24&amp;" ISIN","CHG_PCT_6M")/100</f>
        <v>-5.4725462195343966E-2</v>
      </c>
      <c r="AA24" s="9" cm="1">
        <f t="array" ref="AA24">_xll.BDP($G24&amp;" ISIN","CHG_PCT_YTD")/100</f>
        <v>-3.5361036179391014E-3</v>
      </c>
      <c r="AB24" s="9" t="e">
        <f t="shared" si="2"/>
        <v>#VALUE!</v>
      </c>
      <c r="AC24" s="12">
        <f t="shared" ca="1" si="3"/>
        <v>9370.2222222222408</v>
      </c>
      <c r="AD24" s="11" t="str">
        <f>_xll.BDP(AI24,"DS199")</f>
        <v>Government</v>
      </c>
      <c r="AE24" s="13">
        <f>_xll.BDP(AI24,"px_ask")</f>
        <v>99.088999999999999</v>
      </c>
      <c r="AF24" s="12">
        <f>IF(F24="USD",O24,(((_xll.BDP(F24&amp;"USD CURNCY","PX_LAST")))*O24))</f>
        <v>200000</v>
      </c>
      <c r="AG24" s="7">
        <f t="shared" si="4"/>
        <v>198088</v>
      </c>
      <c r="AH24" s="7">
        <f t="shared" si="5"/>
        <v>196336</v>
      </c>
      <c r="AI24" s="11" t="str">
        <f t="shared" si="6"/>
        <v>XS1575968026 ISIN</v>
      </c>
      <c r="AJ24" s="11" t="e" cm="1">
        <f t="array" ref="AJ24">VLOOKUP(IF(NOT(_xll.BDP($G24&amp;" CORP",$CA$4)="#N/A N/A"),(_xll.BDP($G24&amp;" CORP",$CA$4)),"-"), '[1]Country Codes'!$A$2:$B$253,2,0)</f>
        <v>#N/A</v>
      </c>
      <c r="AK24" s="11" t="str" cm="1">
        <f t="array" ref="AK24">IF(OR(_xll.BDP($AI24,"EX028")= "#N/A N/A", _xll.BDP($AI24,"EX028")="#N/A FIELD NOT APPLICABLE"), " ", _xll.BDP($AI24,"EX028"))</f>
        <v>FixedIncome</v>
      </c>
      <c r="AL24" s="5" t="str">
        <f>(IF(_xll.BDP($AI24&amp;" ISIN","DZ282")="Y","Single line Bonds Cocos","Single line Bonds ex Cocos"))</f>
        <v>Single line Bonds ex Cocos</v>
      </c>
      <c r="AM24" s="6">
        <f>(IF(_xll.BDP($G24&amp;" ISIN","SP153")="#n/a n/a"," ",_xll.BDP($G24&amp;" ISIN","SP153")))</f>
        <v>278.17881733263982</v>
      </c>
      <c r="AN24" s="14">
        <f t="shared" ca="1" si="7"/>
        <v>45755</v>
      </c>
      <c r="AO24" s="7">
        <f>(((_xll.BDP(AI24,"DS032"))/360)*I24)*O24</f>
        <v>1155.5555555555557</v>
      </c>
      <c r="AP24" s="7">
        <f>IF(F24="USD",AO24,(((_xll.BDP(F24&amp;"USD CURNCY","PX_LAST")))*AO24))</f>
        <v>1155.5555555555557</v>
      </c>
      <c r="AQ24" s="9" t="e">
        <f>S24/#REF!</f>
        <v>#REF!</v>
      </c>
      <c r="AR24" s="7">
        <f t="shared" si="8"/>
        <v>196336</v>
      </c>
      <c r="AS24" s="13">
        <f>IF((TEXT(_xll.BDP(AI24,"MATURITY"),"DD/MM/YYYY")="#N/A Field Not Applicable"),"Perp",_xll.BDP(AI24,"DS252"))</f>
        <v>21.913757700205338</v>
      </c>
      <c r="AT24" s="5" t="str">
        <f>(IF(_xll.BDP($AI24&amp;" ISIN","DT247")="Y","Yes","No"))</f>
        <v>No</v>
      </c>
      <c r="AU24" s="5" t="str">
        <f>PROPER(IF(OR(_xll.BDP($AI24,"CPN_TYP")="#n/a N/A",_xll.BDP($AI24,"CPN_TYP")= "#N/A FIELD NOT APPLICABLE"), " ", _xll.BDP($AI24,"CPN_TYP")))</f>
        <v>Fixed</v>
      </c>
      <c r="BG24" s="27" t="str">
        <f t="shared" si="9"/>
        <v>XS1575968026</v>
      </c>
      <c r="BH24" s="27">
        <v>0.5484</v>
      </c>
      <c r="BI24" s="28">
        <v>4</v>
      </c>
      <c r="BJ24" s="36">
        <v>45447</v>
      </c>
      <c r="BK24" s="30"/>
    </row>
    <row r="25" spans="1:63" s="15" customFormat="1" ht="14.45" customHeight="1" x14ac:dyDescent="0.25">
      <c r="A25" s="16" t="s">
        <v>138</v>
      </c>
      <c r="B25" s="16" t="s">
        <v>67</v>
      </c>
      <c r="C25" s="16" t="s">
        <v>68</v>
      </c>
      <c r="D25" s="16" t="s">
        <v>53</v>
      </c>
      <c r="E25" s="11" t="str">
        <f>_xll.BDP(AI25,"ds520")</f>
        <v>Oman Government International Bond</v>
      </c>
      <c r="F25" s="11" t="str">
        <f>_xll.BDP(AI25,"crncy")</f>
        <v>USD</v>
      </c>
      <c r="G25" s="34" t="s">
        <v>55</v>
      </c>
      <c r="H25" s="11" t="str">
        <f>IF(_xll.BDP(AI25,"RTG_MOODY")="#N/A N/A","N/A",_xll.BDP(AI25,"RTG_MOODY"))&amp;","&amp;IF(_xll.BDP(AI25,"RTG_FITCH")="#N/A N/A","N/A",_xll.BDP(AI25,"RTG_FITCH"))&amp;","&amp;IF(_xll.BDP(AI25,"RTG_SP")="#N/A N/A","N/A",_xll.BDP(AI25,"RTG_SP"))</f>
        <v>Ba1,BB+,BBB-</v>
      </c>
      <c r="I25" s="5">
        <f>_xll.BDP(AI25,"cpn")/100</f>
        <v>6.5000000000000002E-2</v>
      </c>
      <c r="J25" s="5">
        <f ca="1">_xll.BDP($G25&amp;" isin","YAS_BOND_YLD", "YAS_YLD_FLAG=15", "user_local_trade_date",AN25,"Yas_bond_px",$Q25)/100</f>
        <v>6.6594329999999993E-2</v>
      </c>
      <c r="K25" s="11" t="str">
        <f>_xll.BDP(AI25,"PAYMENT_RANK")</f>
        <v>Sr Unsecured</v>
      </c>
      <c r="L25" s="11" t="str">
        <f>IF((TEXT(_xll.BDP(AI25,"MATURITY"),"DD/MM/YYYY")="#N/A Field Not Applicable"),"Perp",TEXT(_xll.BDP(AI25,"MATURITY"),"DD/MM/YYYY"))</f>
        <v>08/03/2047</v>
      </c>
      <c r="M25" s="6">
        <f>(IF(_xll.BDP($AI25&amp;" ISIN","DU003")="#n/a n/a"," ",_xll.BDP($AI25&amp;" ISIN","DU003")))</f>
        <v>11.837853361879842</v>
      </c>
      <c r="N25" s="11" t="str">
        <f>IF(_xll.BDP(AI25,"CALLABLE")="Y",_xll.BDP(AI25,"NXT_CALL_DT")," ")</f>
        <v xml:space="preserve"> </v>
      </c>
      <c r="O25" s="35">
        <v>200000</v>
      </c>
      <c r="P25" s="34">
        <v>101.01600000000001</v>
      </c>
      <c r="Q25" s="13">
        <f>_xll.BDP(AI25,"px_bid")</f>
        <v>98.168000000000006</v>
      </c>
      <c r="R25" s="7">
        <f>IF(F25="USD",AG25,(((_xll.BDP(F25&amp;"USD CURNCY","PX_LAST")))*AG25))</f>
        <v>202032</v>
      </c>
      <c r="S25" s="7">
        <f>IF(F25="USD",AH25,(((_xll.BDP(F25&amp;"USD CURNCY","PX_LAST")))*AH25))+AP25</f>
        <v>197491.55555555556</v>
      </c>
      <c r="T25" s="8">
        <f t="shared" si="0"/>
        <v>-5695.9999999999973</v>
      </c>
      <c r="U25" s="9">
        <f t="shared" si="1"/>
        <v>-2.8193553496475794E-2</v>
      </c>
      <c r="V25" s="9" cm="1">
        <f t="array" ref="V25">IFERROR(_xll.BDP($G25&amp;" ISIN","CHG_PCT_1D")/100,"")</f>
        <v>9.8497957344855815E-3</v>
      </c>
      <c r="W25" s="9" cm="1">
        <f t="array" ref="W25">IFERROR(_xll.BDP($G25&amp;" ISIN","CHG_PCT_5D")/100,"")</f>
        <v>-3.1196896026717762E-2</v>
      </c>
      <c r="X25" s="9" cm="1">
        <f t="array" ref="X25">_xll.BDP($G25&amp;" ISIN","CHG_PCT_1M")/100</f>
        <v>-3.5507529825933894E-2</v>
      </c>
      <c r="Y25" s="9" cm="1">
        <f t="array" ref="Y25">_xll.BDP($G25&amp;" ISIN","CHG_PCT_3M")/100</f>
        <v>1.0273902444021061E-2</v>
      </c>
      <c r="Z25" s="9" cm="1">
        <f t="array" ref="Z25">_xll.BDP($G25&amp;" ISIN","CHG_PCT_6M")/100</f>
        <v>-5.4725462195343966E-2</v>
      </c>
      <c r="AA25" s="9" cm="1">
        <f t="array" ref="AA25">_xll.BDP($G25&amp;" ISIN","CHG_PCT_YTD")/100</f>
        <v>-3.5361036179391014E-3</v>
      </c>
      <c r="AB25" s="9" t="e">
        <f t="shared" si="2"/>
        <v>#VALUE!</v>
      </c>
      <c r="AC25" s="12">
        <f t="shared" ca="1" si="3"/>
        <v>45.666666666667879</v>
      </c>
      <c r="AD25" s="11" t="str">
        <f>_xll.BDP(AI25,"DS199")</f>
        <v>Government</v>
      </c>
      <c r="AE25" s="13">
        <f>_xll.BDP(AI25,"px_ask")</f>
        <v>99.088999999999999</v>
      </c>
      <c r="AF25" s="12">
        <f>IF(F25="USD",O25,(((_xll.BDP(F25&amp;"USD CURNCY","PX_LAST")))*O25))</f>
        <v>200000</v>
      </c>
      <c r="AG25" s="7">
        <f t="shared" si="4"/>
        <v>202032</v>
      </c>
      <c r="AH25" s="7">
        <f t="shared" si="5"/>
        <v>196336</v>
      </c>
      <c r="AI25" s="11" t="str">
        <f t="shared" si="6"/>
        <v>XS1575968026 ISIN</v>
      </c>
      <c r="AJ25" s="11" t="e" cm="1">
        <f t="array" ref="AJ25">VLOOKUP(IF(NOT(_xll.BDP($G25&amp;" CORP",$CA$4)="#N/A N/A"),(_xll.BDP($G25&amp;" CORP",$CA$4)),"-"), '[1]Country Codes'!$A$2:$B$253,2,0)</f>
        <v>#N/A</v>
      </c>
      <c r="AK25" s="11" t="str" cm="1">
        <f t="array" ref="AK25">IF(OR(_xll.BDP($AI25,"EX028")= "#N/A N/A", _xll.BDP($AI25,"EX028")="#N/A FIELD NOT APPLICABLE"), " ", _xll.BDP($AI25,"EX028"))</f>
        <v>FixedIncome</v>
      </c>
      <c r="AL25" s="5" t="str">
        <f>(IF(_xll.BDP($AI25&amp;" ISIN","DZ282")="Y","Single line Bonds Cocos","Single line Bonds ex Cocos"))</f>
        <v>Single line Bonds ex Cocos</v>
      </c>
      <c r="AM25" s="6">
        <f>(IF(_xll.BDP($G25&amp;" ISIN","SP153")="#n/a n/a"," ",_xll.BDP($G25&amp;" ISIN","SP153")))</f>
        <v>278.17881733263982</v>
      </c>
      <c r="AN25" s="14">
        <f t="shared" ca="1" si="7"/>
        <v>45755</v>
      </c>
      <c r="AO25" s="7">
        <f>(((_xll.BDP(AI25,"DS032"))/360)*I25)*O25</f>
        <v>1155.5555555555557</v>
      </c>
      <c r="AP25" s="7">
        <f>IF(F25="USD",AO25,(((_xll.BDP(F25&amp;"USD CURNCY","PX_LAST")))*AO25))</f>
        <v>1155.5555555555557</v>
      </c>
      <c r="AQ25" s="9" t="e">
        <f>S25/$S$131</f>
        <v>#DIV/0!</v>
      </c>
      <c r="AR25" s="7">
        <f t="shared" si="8"/>
        <v>196336</v>
      </c>
      <c r="AS25" s="13">
        <f>IF((TEXT(_xll.BDP(AI25,"MATURITY"),"DD/MM/YYYY")="#N/A Field Not Applicable"),"Perp",_xll.BDP(AI25,"DS252"))</f>
        <v>21.913757700205338</v>
      </c>
      <c r="AT25" s="5" t="str">
        <f>(IF(_xll.BDP($AI25&amp;" ISIN","DT247")="Y","Yes","No"))</f>
        <v>No</v>
      </c>
      <c r="AU25" s="5" t="str">
        <f>PROPER(IF(OR(_xll.BDP($AI25,"CPN_TYP")="#n/a N/A",_xll.BDP($AI25,"CPN_TYP")= "#N/A FIELD NOT APPLICABLE"), " ", _xll.BDP($AI25,"CPN_TYP")))</f>
        <v>Fixed</v>
      </c>
      <c r="BG25" s="27" t="str">
        <f t="shared" si="9"/>
        <v>XS1575968026</v>
      </c>
      <c r="BH25" s="27">
        <f>VLOOKUP(BG25,'[2]Portefeuille 4379150'!$B$3:$G$42,6,0)</f>
        <v>0.55169999999999997</v>
      </c>
      <c r="BI25" s="28">
        <v>4</v>
      </c>
      <c r="BJ25" s="36">
        <v>45596</v>
      </c>
      <c r="BK25" s="30">
        <v>1</v>
      </c>
    </row>
    <row r="26" spans="1:63" s="15" customFormat="1" ht="14.45" customHeight="1" x14ac:dyDescent="0.25">
      <c r="A26" s="16" t="s">
        <v>137</v>
      </c>
      <c r="B26" s="16" t="s">
        <v>69</v>
      </c>
      <c r="C26" s="16" t="s">
        <v>70</v>
      </c>
      <c r="D26" s="16" t="s">
        <v>49</v>
      </c>
      <c r="E26" s="11" t="str">
        <f>_xll.BDP(AI26,"ds520")</f>
        <v>Oman Government International Bond</v>
      </c>
      <c r="F26" s="11" t="str">
        <f>_xll.BDP(AI26,"crncy")</f>
        <v>USD</v>
      </c>
      <c r="G26" s="34" t="s">
        <v>55</v>
      </c>
      <c r="H26" s="11" t="str">
        <f>IF(_xll.BDP(AI26,"RTG_MOODY")="#N/A N/A","N/A",_xll.BDP(AI26,"RTG_MOODY"))&amp;","&amp;IF(_xll.BDP(AI26,"RTG_FITCH")="#N/A N/A","N/A",_xll.BDP(AI26,"RTG_FITCH"))&amp;","&amp;IF(_xll.BDP(AI26,"RTG_SP")="#N/A N/A","N/A",_xll.BDP(AI26,"RTG_SP"))</f>
        <v>Ba1,BB+,BBB-</v>
      </c>
      <c r="I26" s="5">
        <f>_xll.BDP(AI26,"cpn")/100</f>
        <v>6.5000000000000002E-2</v>
      </c>
      <c r="J26" s="5">
        <f ca="1">_xll.BDP($G26&amp;" isin","YAS_BOND_YLD", "YAS_YLD_FLAG=15", "user_local_trade_date",AN26,"Yas_bond_px",$Q26)/100</f>
        <v>6.6594329999999993E-2</v>
      </c>
      <c r="K26" s="11" t="str">
        <f>_xll.BDP(AI26,"PAYMENT_RANK")</f>
        <v>Sr Unsecured</v>
      </c>
      <c r="L26" s="11" t="str">
        <f>IF((TEXT(_xll.BDP(AI26,"MATURITY"),"DD/MM/YYYY")="#N/A Field Not Applicable"),"Perp",TEXT(_xll.BDP(AI26,"MATURITY"),"DD/MM/YYYY"))</f>
        <v>08/03/2047</v>
      </c>
      <c r="M26" s="6">
        <f>(IF(_xll.BDP($AI26&amp;" ISIN","DU003")="#n/a n/a"," ",_xll.BDP($AI26&amp;" ISIN","DU003")))</f>
        <v>11.837853361879842</v>
      </c>
      <c r="N26" s="11" t="str">
        <f>IF(_xll.BDP(AI26,"CALLABLE")="Y",_xll.BDP(AI26,"NXT_CALL_DT")," ")</f>
        <v xml:space="preserve"> </v>
      </c>
      <c r="O26" s="35">
        <v>300000</v>
      </c>
      <c r="P26" s="34">
        <v>100.33</v>
      </c>
      <c r="Q26" s="13">
        <f>_xll.BDP(AI26,"px_bid")</f>
        <v>98.168000000000006</v>
      </c>
      <c r="R26" s="7">
        <f>IF(F26="USD",AG26,(((_xll.BDP(F26&amp;"USD CURNCY","PX_LAST")))*AG26))</f>
        <v>300990</v>
      </c>
      <c r="S26" s="7">
        <f>IF(F26="USD",AH26,(((_xll.BDP(F26&amp;"USD CURNCY","PX_LAST")))*AH26))+AP26</f>
        <v>296237.33333333337</v>
      </c>
      <c r="T26" s="8">
        <f t="shared" si="0"/>
        <v>-6485.9999999999754</v>
      </c>
      <c r="U26" s="9">
        <f t="shared" si="1"/>
        <v>-2.1548888667397507E-2</v>
      </c>
      <c r="V26" s="9" cm="1">
        <f t="array" ref="V26">IFERROR(_xll.BDP($G26&amp;" ISIN","CHG_PCT_1D")/100,"")</f>
        <v>9.8497957344855815E-3</v>
      </c>
      <c r="W26" s="9" cm="1">
        <f t="array" ref="W26">IFERROR(_xll.BDP($G26&amp;" ISIN","CHG_PCT_5D")/100,"")</f>
        <v>-3.1196896026717762E-2</v>
      </c>
      <c r="X26" s="9" cm="1">
        <f t="array" ref="X26">_xll.BDP($G26&amp;" ISIN","CHG_PCT_1M")/100</f>
        <v>-3.5507529825933894E-2</v>
      </c>
      <c r="Y26" s="9" cm="1">
        <f t="array" ref="Y26">_xll.BDP($G26&amp;" ISIN","CHG_PCT_3M")/100</f>
        <v>1.0273902444021061E-2</v>
      </c>
      <c r="Z26" s="9" cm="1">
        <f t="array" ref="Z26">_xll.BDP($G26&amp;" ISIN","CHG_PCT_6M")/100</f>
        <v>-5.4725462195343966E-2</v>
      </c>
      <c r="AA26" s="9" cm="1">
        <f t="array" ref="AA26">_xll.BDP($G26&amp;" ISIN","CHG_PCT_YTD")/100</f>
        <v>-3.5361036179391014E-3</v>
      </c>
      <c r="AB26" s="9" t="e">
        <f t="shared" si="2"/>
        <v>#VALUE!</v>
      </c>
      <c r="AC26" s="12">
        <f t="shared" ca="1" si="3"/>
        <v>9384.8333333333576</v>
      </c>
      <c r="AD26" s="11" t="str">
        <f>_xll.BDP(AI26,"DS199")</f>
        <v>Government</v>
      </c>
      <c r="AE26" s="13">
        <f>_xll.BDP(AI26,"px_ask")</f>
        <v>99.088999999999999</v>
      </c>
      <c r="AF26" s="12">
        <f>IF(F26="USD",O26,(((_xll.BDP(F26&amp;"USD CURNCY","PX_LAST")))*O26))</f>
        <v>300000</v>
      </c>
      <c r="AG26" s="7">
        <f t="shared" si="4"/>
        <v>300990</v>
      </c>
      <c r="AH26" s="7">
        <f t="shared" si="5"/>
        <v>294504.00000000006</v>
      </c>
      <c r="AI26" s="11" t="str">
        <f t="shared" si="6"/>
        <v>XS1575968026 ISIN</v>
      </c>
      <c r="AJ26" s="11" t="e" cm="1">
        <f t="array" ref="AJ26">VLOOKUP(IF(NOT(_xll.BDP($G26&amp;" CORP",$CA$4)="#N/A N/A"),(_xll.BDP($G26&amp;" CORP",$CA$4)),"-"), '[1]Country Codes'!$A$2:$B$253,2,0)</f>
        <v>#N/A</v>
      </c>
      <c r="AK26" s="11" t="str" cm="1">
        <f t="array" ref="AK26">IF(OR(_xll.BDP($AI26,"EX028")= "#N/A N/A", _xll.BDP($AI26,"EX028")="#N/A FIELD NOT APPLICABLE"), " ", _xll.BDP($AI26,"EX028"))</f>
        <v>FixedIncome</v>
      </c>
      <c r="AL26" s="5" t="str">
        <f>(IF(_xll.BDP($AI26&amp;" ISIN","DZ282")="Y","Single line Bonds Cocos","Single line Bonds ex Cocos"))</f>
        <v>Single line Bonds ex Cocos</v>
      </c>
      <c r="AM26" s="6">
        <f>(IF(_xll.BDP($G26&amp;" ISIN","SP153")="#n/a n/a"," ",_xll.BDP($G26&amp;" ISIN","SP153")))</f>
        <v>278.17881733263982</v>
      </c>
      <c r="AN26" s="14">
        <f t="shared" ca="1" si="7"/>
        <v>45755</v>
      </c>
      <c r="AO26" s="7">
        <f>(((_xll.BDP(AI26,"DS032"))/360)*I26)*O26</f>
        <v>1733.3333333333335</v>
      </c>
      <c r="AP26" s="7">
        <f>IF(F26="USD",AO26,(((_xll.BDP(F26&amp;"USD CURNCY","PX_LAST")))*AO26))</f>
        <v>1733.3333333333335</v>
      </c>
      <c r="AQ26" s="9" t="e">
        <f>S26/$S$141</f>
        <v>#DIV/0!</v>
      </c>
      <c r="AR26" s="7">
        <f t="shared" si="8"/>
        <v>294504.00000000006</v>
      </c>
      <c r="AS26" s="13">
        <f>IF((TEXT(_xll.BDP(AI26,"MATURITY"),"DD/MM/YYYY")="#N/A Field Not Applicable"),"Perp",_xll.BDP(AI26,"DS252"))</f>
        <v>21.913757700205338</v>
      </c>
      <c r="AT26" s="5" t="str">
        <f>(IF(_xll.BDP($AI26&amp;" ISIN","DT247")="Y","Yes","No"))</f>
        <v>No</v>
      </c>
      <c r="AU26" s="5" t="str">
        <f>PROPER(IF(OR(_xll.BDP($AI26,"CPN_TYP")="#n/a N/A",_xll.BDP($AI26,"CPN_TYP")= "#N/A FIELD NOT APPLICABLE"), " ", _xll.BDP($AI26,"CPN_TYP")))</f>
        <v>Fixed</v>
      </c>
      <c r="BG26" s="27" t="str">
        <f t="shared" si="9"/>
        <v>XS1575968026</v>
      </c>
      <c r="BH26" s="27">
        <v>0.82</v>
      </c>
      <c r="BI26" s="28">
        <v>3</v>
      </c>
      <c r="BJ26" s="36">
        <v>45462</v>
      </c>
      <c r="BK26" s="30">
        <v>1</v>
      </c>
    </row>
    <row r="27" spans="1:63" s="15" customFormat="1" ht="14.45" customHeight="1" x14ac:dyDescent="0.25">
      <c r="A27" s="16" t="s">
        <v>138</v>
      </c>
      <c r="B27" s="16" t="s">
        <v>72</v>
      </c>
      <c r="C27" s="16" t="s">
        <v>73</v>
      </c>
      <c r="D27" s="16" t="s">
        <v>53</v>
      </c>
      <c r="E27" s="11" t="str">
        <f>_xll.BDP(AI27,"ds520")</f>
        <v>Oman Government International Bond</v>
      </c>
      <c r="F27" s="11" t="str">
        <f>_xll.BDP(AI27,"crncy")</f>
        <v>USD</v>
      </c>
      <c r="G27" s="34" t="s">
        <v>55</v>
      </c>
      <c r="H27" s="11" t="str">
        <f>IF(_xll.BDP(AI27,"RTG_MOODY")="#N/A N/A","N/A",_xll.BDP(AI27,"RTG_MOODY"))&amp;","&amp;IF(_xll.BDP(AI27,"RTG_FITCH")="#N/A N/A","N/A",_xll.BDP(AI27,"RTG_FITCH"))&amp;","&amp;IF(_xll.BDP(AI27,"RTG_SP")="#N/A N/A","N/A",_xll.BDP(AI27,"RTG_SP"))</f>
        <v>Ba1,BB+,BBB-</v>
      </c>
      <c r="I27" s="5">
        <f>_xll.BDP(AI27,"cpn")/100</f>
        <v>6.5000000000000002E-2</v>
      </c>
      <c r="J27" s="5">
        <f ca="1">_xll.BDP($G27&amp;" isin","YAS_BOND_YLD", "YAS_YLD_FLAG=15", "user_local_trade_date",AN27,"Yas_bond_px",$Q27)/100</f>
        <v>6.6594329999999993E-2</v>
      </c>
      <c r="K27" s="11" t="str">
        <f>_xll.BDP(AI27,"PAYMENT_RANK")</f>
        <v>Sr Unsecured</v>
      </c>
      <c r="L27" s="11" t="str">
        <f>IF((TEXT(_xll.BDP(AI27,"MATURITY"),"DD/MM/YYYY")="#N/A Field Not Applicable"),"Perp",TEXT(_xll.BDP(AI27,"MATURITY"),"DD/MM/YYYY"))</f>
        <v>08/03/2047</v>
      </c>
      <c r="M27" s="6">
        <f>(IF(_xll.BDP($AI27&amp;" ISIN","DU003")="#n/a n/a"," ",_xll.BDP($AI27&amp;" ISIN","DU003")))</f>
        <v>11.837853361879842</v>
      </c>
      <c r="N27" s="11" t="str">
        <f>IF(_xll.BDP(AI27,"CALLABLE")="Y",_xll.BDP(AI27,"NXT_CALL_DT")," ")</f>
        <v xml:space="preserve"> </v>
      </c>
      <c r="O27" s="35">
        <v>300000</v>
      </c>
      <c r="P27" s="34">
        <v>99.55</v>
      </c>
      <c r="Q27" s="13">
        <f>_xll.BDP(AI27,"px_bid")</f>
        <v>98.168000000000006</v>
      </c>
      <c r="R27" s="7">
        <f>IF(F27="USD",AG27,(((_xll.BDP(F27&amp;"USD CURNCY","PX_LAST")))*AG27))</f>
        <v>298650</v>
      </c>
      <c r="S27" s="7">
        <f>IF(F27="USD",AH27,(((_xll.BDP(F27&amp;"USD CURNCY","PX_LAST")))*AH27))+AP27</f>
        <v>296237.33333333337</v>
      </c>
      <c r="T27" s="8">
        <f t="shared" si="0"/>
        <v>-4145.9999999999727</v>
      </c>
      <c r="U27" s="9">
        <f t="shared" si="1"/>
        <v>-1.3882471120040089E-2</v>
      </c>
      <c r="V27" s="9" cm="1">
        <f t="array" ref="V27">IFERROR(_xll.BDP($G27&amp;" ISIN","CHG_PCT_1D")/100,"")</f>
        <v>9.8497957344855815E-3</v>
      </c>
      <c r="W27" s="9" cm="1">
        <f t="array" ref="W27">IFERROR(_xll.BDP($G27&amp;" ISIN","CHG_PCT_5D")/100,"")</f>
        <v>-3.1196896026717762E-2</v>
      </c>
      <c r="X27" s="9" cm="1">
        <f t="array" ref="X27">_xll.BDP($G27&amp;" ISIN","CHG_PCT_1M")/100</f>
        <v>-3.5507529825933894E-2</v>
      </c>
      <c r="Y27" s="9" cm="1">
        <f t="array" ref="Y27">_xll.BDP($G27&amp;" ISIN","CHG_PCT_3M")/100</f>
        <v>1.0273902444021061E-2</v>
      </c>
      <c r="Z27" s="9" cm="1">
        <f t="array" ref="Z27">_xll.BDP($G27&amp;" ISIN","CHG_PCT_6M")/100</f>
        <v>-5.4725462195343966E-2</v>
      </c>
      <c r="AA27" s="9" cm="1">
        <f t="array" ref="AA27">_xll.BDP($G27&amp;" ISIN","CHG_PCT_YTD")/100</f>
        <v>-3.5361036179391014E-3</v>
      </c>
      <c r="AB27" s="9" t="e">
        <f t="shared" si="2"/>
        <v>#VALUE!</v>
      </c>
      <c r="AC27" s="12">
        <f t="shared" ca="1" si="3"/>
        <v>12537.333333333359</v>
      </c>
      <c r="AD27" s="11" t="str">
        <f>_xll.BDP(AI27,"DS199")</f>
        <v>Government</v>
      </c>
      <c r="AE27" s="13">
        <f>_xll.BDP(AI27,"px_ask")</f>
        <v>99.088999999999999</v>
      </c>
      <c r="AF27" s="12">
        <f>IF(F27="USD",O27,(((_xll.BDP(F27&amp;"USD CURNCY","PX_LAST")))*O27))</f>
        <v>300000</v>
      </c>
      <c r="AG27" s="7">
        <f t="shared" si="4"/>
        <v>298650</v>
      </c>
      <c r="AH27" s="7">
        <f t="shared" si="5"/>
        <v>294504.00000000006</v>
      </c>
      <c r="AI27" s="11" t="str">
        <f t="shared" si="6"/>
        <v>XS1575968026 ISIN</v>
      </c>
      <c r="AJ27" s="11" t="e" cm="1">
        <f t="array" ref="AJ27">VLOOKUP(IF(NOT(_xll.BDP($G27&amp;" CORP",$CA$4)="#N/A N/A"),(_xll.BDP($G27&amp;" CORP",$CA$4)),"-"), '[1]Country Codes'!$A$2:$B$253,2,0)</f>
        <v>#N/A</v>
      </c>
      <c r="AK27" s="11" t="str" cm="1">
        <f t="array" ref="AK27">IF(OR(_xll.BDP($AI27,"EX028")= "#N/A N/A", _xll.BDP($AI27,"EX028")="#N/A FIELD NOT APPLICABLE"), " ", _xll.BDP($AI27,"EX028"))</f>
        <v>FixedIncome</v>
      </c>
      <c r="AL27" s="5" t="str">
        <f>(IF(_xll.BDP($AI27&amp;" ISIN","DZ282")="Y","Single line Bonds Cocos","Single line Bonds ex Cocos"))</f>
        <v>Single line Bonds ex Cocos</v>
      </c>
      <c r="AM27" s="6">
        <f>(IF(_xll.BDP($G27&amp;" ISIN","SP153")="#n/a n/a"," ",_xll.BDP($G27&amp;" ISIN","SP153")))</f>
        <v>278.17881733263982</v>
      </c>
      <c r="AN27" s="14">
        <f t="shared" ca="1" si="7"/>
        <v>45755</v>
      </c>
      <c r="AO27" s="7">
        <f>(((_xll.BDP(AI27,"DS032"))/360)*I27)*O27</f>
        <v>1733.3333333333335</v>
      </c>
      <c r="AP27" s="7">
        <f>IF(F27="USD",AO27,(((_xll.BDP(F27&amp;"USD CURNCY","PX_LAST")))*AO27))</f>
        <v>1733.3333333333335</v>
      </c>
      <c r="AQ27" s="9" t="e">
        <f>S27/$S$139</f>
        <v>#DIV/0!</v>
      </c>
      <c r="AR27" s="7">
        <f t="shared" si="8"/>
        <v>294504.00000000006</v>
      </c>
      <c r="AS27" s="13">
        <f>IF((TEXT(_xll.BDP(AI27,"MATURITY"),"DD/MM/YYYY")="#N/A Field Not Applicable"),"Perp",_xll.BDP(AI27,"DS252"))</f>
        <v>21.913757700205338</v>
      </c>
      <c r="AT27" s="5" t="str">
        <f>(IF(_xll.BDP($AI27&amp;" ISIN","DT247")="Y","Yes","No"))</f>
        <v>No</v>
      </c>
      <c r="AU27" s="5" t="str">
        <f>PROPER(IF(OR(_xll.BDP($AI27,"CPN_TYP")="#n/a N/A",_xll.BDP($AI27,"CPN_TYP")= "#N/A FIELD NOT APPLICABLE"), " ", _xll.BDP($AI27,"CPN_TYP")))</f>
        <v>Fixed</v>
      </c>
      <c r="BG27" s="27" t="str">
        <f t="shared" si="9"/>
        <v>XS1575968026</v>
      </c>
      <c r="BH27" s="27">
        <f>VLOOKUP(BG27,'[2]Portefeuille 4380430'!$B$3:$G$38,6,0)</f>
        <v>0.55389999999999995</v>
      </c>
      <c r="BI27" s="28">
        <v>4</v>
      </c>
      <c r="BJ27" s="36">
        <v>45447</v>
      </c>
      <c r="BK27" s="30"/>
    </row>
    <row r="28" spans="1:63" s="15" customFormat="1" ht="14.45" customHeight="1" x14ac:dyDescent="0.25">
      <c r="A28" s="16" t="s">
        <v>137</v>
      </c>
      <c r="B28" s="16" t="s">
        <v>74</v>
      </c>
      <c r="C28" s="16" t="s">
        <v>75</v>
      </c>
      <c r="D28" s="16" t="s">
        <v>49</v>
      </c>
      <c r="E28" s="11" t="str">
        <f>_xll.BDP(AI28,"ds520")</f>
        <v>Oman Government International Bond</v>
      </c>
      <c r="F28" s="11" t="str">
        <f>_xll.BDP(AI28,"crncy")</f>
        <v>USD</v>
      </c>
      <c r="G28" s="34" t="s">
        <v>55</v>
      </c>
      <c r="H28" s="11" t="str">
        <f>IF(_xll.BDP(AI28,"RTG_MOODY")="#N/A N/A","N/A",_xll.BDP(AI28,"RTG_MOODY"))&amp;","&amp;IF(_xll.BDP(AI28,"RTG_FITCH")="#N/A N/A","N/A",_xll.BDP(AI28,"RTG_FITCH"))&amp;","&amp;IF(_xll.BDP(AI28,"RTG_SP")="#N/A N/A","N/A",_xll.BDP(AI28,"RTG_SP"))</f>
        <v>Ba1,BB+,BBB-</v>
      </c>
      <c r="I28" s="5">
        <f>_xll.BDP(AI28,"cpn")/100</f>
        <v>6.5000000000000002E-2</v>
      </c>
      <c r="J28" s="5">
        <f ca="1">_xll.BDP($G28&amp;" isin","YAS_BOND_YLD", "YAS_YLD_FLAG=15", "user_local_trade_date",AN28,"Yas_bond_px",$Q28)/100</f>
        <v>6.6594329999999993E-2</v>
      </c>
      <c r="K28" s="11" t="str">
        <f>_xll.BDP(AI28,"PAYMENT_RANK")</f>
        <v>Sr Unsecured</v>
      </c>
      <c r="L28" s="11" t="str">
        <f>IF((TEXT(_xll.BDP(AI28,"MATURITY"),"DD/MM/YYYY")="#N/A Field Not Applicable"),"Perp",TEXT(_xll.BDP(AI28,"MATURITY"),"DD/MM/YYYY"))</f>
        <v>08/03/2047</v>
      </c>
      <c r="M28" s="6">
        <f>(IF(_xll.BDP($AI28&amp;" ISIN","DU003")="#n/a n/a"," ",_xll.BDP($AI28&amp;" ISIN","DU003")))</f>
        <v>11.837853361879842</v>
      </c>
      <c r="N28" s="11" t="str">
        <f>IF(_xll.BDP(AI28,"CALLABLE")="Y",_xll.BDP(AI28,"NXT_CALL_DT")," ")</f>
        <v xml:space="preserve"> </v>
      </c>
      <c r="O28" s="35">
        <v>200000</v>
      </c>
      <c r="P28" s="34">
        <v>100.33</v>
      </c>
      <c r="Q28" s="13">
        <f>_xll.BDP(AI28,"px_bid")</f>
        <v>98.168000000000006</v>
      </c>
      <c r="R28" s="7">
        <f>IF(F28="USD",AG28,(((_xll.BDP(F28&amp;"USD CURNCY","PX_LAST")))*AG28))</f>
        <v>200660</v>
      </c>
      <c r="S28" s="7">
        <f>IF(F28="USD",AH28,(((_xll.BDP(F28&amp;"USD CURNCY","PX_LAST")))*AH28))+AP28</f>
        <v>197475.72602739726</v>
      </c>
      <c r="T28" s="8">
        <f t="shared" si="0"/>
        <v>-4323.9999999999836</v>
      </c>
      <c r="U28" s="9">
        <f t="shared" si="1"/>
        <v>-2.1548888667397507E-2</v>
      </c>
      <c r="V28" s="9" cm="1">
        <f t="array" ref="V28">IFERROR(_xll.BDP($G28&amp;" ISIN","CHG_PCT_1D")/100,"")</f>
        <v>9.8497957344855815E-3</v>
      </c>
      <c r="W28" s="9" cm="1">
        <f t="array" ref="W28">IFERROR(_xll.BDP($G28&amp;" ISIN","CHG_PCT_5D")/100,"")</f>
        <v>-3.1196896026717762E-2</v>
      </c>
      <c r="X28" s="9" cm="1">
        <f t="array" ref="X28">_xll.BDP($G28&amp;" ISIN","CHG_PCT_1M")/100</f>
        <v>-3.5507529825933894E-2</v>
      </c>
      <c r="Y28" s="9" cm="1">
        <f t="array" ref="Y28">_xll.BDP($G28&amp;" ISIN","CHG_PCT_3M")/100</f>
        <v>1.0273902444021061E-2</v>
      </c>
      <c r="Z28" s="9" cm="1">
        <f t="array" ref="Z28">_xll.BDP($G28&amp;" ISIN","CHG_PCT_6M")/100</f>
        <v>-5.4725462195343966E-2</v>
      </c>
      <c r="AA28" s="9" cm="1">
        <f t="array" ref="AA28">_xll.BDP($G28&amp;" ISIN","CHG_PCT_YTD")/100</f>
        <v>-3.5361036179391014E-3</v>
      </c>
      <c r="AB28" s="9" t="e">
        <f t="shared" si="2"/>
        <v>#VALUE!</v>
      </c>
      <c r="AC28" s="12">
        <f t="shared" ca="1" si="3"/>
        <v>6256.5555555555702</v>
      </c>
      <c r="AD28" s="11" t="str">
        <f>_xll.BDP(AI28,"DS199")</f>
        <v>Government</v>
      </c>
      <c r="AE28" s="13">
        <f>_xll.BDP(AI28,"px_ask")</f>
        <v>99.088999999999999</v>
      </c>
      <c r="AF28" s="12">
        <f>IF(F28="USD",O28,(((_xll.BDP(F28&amp;"USD CURNCY","PX_LAST")))*O28))</f>
        <v>200000</v>
      </c>
      <c r="AG28" s="7">
        <f t="shared" si="4"/>
        <v>200660</v>
      </c>
      <c r="AH28" s="7">
        <f t="shared" si="5"/>
        <v>196336</v>
      </c>
      <c r="AI28" s="11" t="str">
        <f t="shared" si="6"/>
        <v>XS1575968026 ISIN</v>
      </c>
      <c r="AJ28" s="11" t="e" cm="1">
        <f t="array" ref="AJ28">VLOOKUP(IF(NOT(_xll.BDP($G28&amp;" CORP",$CA$4)="#N/A N/A"),(_xll.BDP($G28&amp;" CORP",$CA$4)),"-"), '[1]Country Codes'!$A$2:$B$253,2,0)</f>
        <v>#N/A</v>
      </c>
      <c r="AK28" s="11" t="str" cm="1">
        <f t="array" ref="AK28">IF(OR(_xll.BDP($AI28,"EX028")= "#N/A N/A", _xll.BDP($AI28,"EX028")="#N/A FIELD NOT APPLICABLE"), " ", _xll.BDP($AI28,"EX028"))</f>
        <v>FixedIncome</v>
      </c>
      <c r="AL28" s="5" t="str">
        <f>(IF(_xll.BDP($AI28&amp;" ISIN","DZ282")="Y","Single line Bonds Cocos","Single line Bonds ex Cocos"))</f>
        <v>Single line Bonds ex Cocos</v>
      </c>
      <c r="AM28" s="6">
        <f>(IF(_xll.BDP($G28&amp;" ISIN","SP153")="#n/a n/a"," ",_xll.BDP($G28&amp;" ISIN","SP153")))</f>
        <v>278.17881733263982</v>
      </c>
      <c r="AN28" s="14">
        <f t="shared" ca="1" si="7"/>
        <v>45755</v>
      </c>
      <c r="AO28" s="7">
        <f>(((_xll.BDP(AI28,"DS032"))/365)*I28)*O28</f>
        <v>1139.7260273972602</v>
      </c>
      <c r="AP28" s="7">
        <f>IF(F28="USD",AO28,(((_xll.BDP(F28&amp;"USD CURNCY","PX_LAST")))*AO28))</f>
        <v>1139.7260273972602</v>
      </c>
      <c r="AQ28" s="9" t="e">
        <f>S28/$S$135</f>
        <v>#DIV/0!</v>
      </c>
      <c r="AR28" s="7">
        <f t="shared" si="8"/>
        <v>196336</v>
      </c>
      <c r="AS28" s="13">
        <f>IF((TEXT(_xll.BDP(AI28,"MATURITY"),"DD/MM/YYYY")="#N/A Field Not Applicable"),"Perp",_xll.BDP(AI28,"DS252"))</f>
        <v>21.913757700205338</v>
      </c>
      <c r="AT28" s="5" t="str">
        <f>(IF(_xll.BDP($AI28&amp;" ISIN","DT247")="Y","Yes","No"))</f>
        <v>No</v>
      </c>
      <c r="AU28" s="5" t="str">
        <f>PROPER(IF(OR(_xll.BDP($AI28,"CPN_TYP")="#n/a N/A",_xll.BDP($AI28,"CPN_TYP")= "#N/A FIELD NOT APPLICABLE"), " ", _xll.BDP($AI28,"CPN_TYP")))</f>
        <v>Fixed</v>
      </c>
      <c r="BG28" s="27" t="str">
        <f t="shared" si="9"/>
        <v>XS1575968026</v>
      </c>
      <c r="BH28" s="27">
        <v>0.55000000000000004</v>
      </c>
      <c r="BI28" s="28">
        <v>4</v>
      </c>
      <c r="BJ28" s="36">
        <v>45462</v>
      </c>
      <c r="BK28" s="30">
        <v>1</v>
      </c>
    </row>
    <row r="29" spans="1:63" s="15" customFormat="1" ht="14.45" customHeight="1" x14ac:dyDescent="0.25">
      <c r="A29" s="16" t="s">
        <v>137</v>
      </c>
      <c r="B29" s="16" t="s">
        <v>79</v>
      </c>
      <c r="C29" s="16" t="s">
        <v>80</v>
      </c>
      <c r="D29" s="16" t="s">
        <v>49</v>
      </c>
      <c r="E29" s="11" t="str">
        <f>_xll.BDP(AI29,"ds520")</f>
        <v>Oman Government International Bond</v>
      </c>
      <c r="F29" s="11" t="str">
        <f>_xll.BDP(AI29,"crncy")</f>
        <v>USD</v>
      </c>
      <c r="G29" s="34" t="s">
        <v>55</v>
      </c>
      <c r="H29" s="11" t="str">
        <f>IF(_xll.BDP(AI29,"RTG_MOODY")="#N/A N/A","N/A",_xll.BDP(AI29,"RTG_MOODY"))&amp;","&amp;IF(_xll.BDP(AI29,"RTG_FITCH")="#N/A N/A","N/A",_xll.BDP(AI29,"RTG_FITCH"))&amp;","&amp;IF(_xll.BDP(AI29,"RTG_SP")="#N/A N/A","N/A",_xll.BDP(AI29,"RTG_SP"))</f>
        <v>Ba1,BB+,BBB-</v>
      </c>
      <c r="I29" s="5">
        <f>_xll.BDP(AI29,"cpn")/100</f>
        <v>6.5000000000000002E-2</v>
      </c>
      <c r="J29" s="5">
        <f ca="1">_xll.BDP($G29&amp;" isin","YAS_BOND_YLD", "YAS_YLD_FLAG=15", "user_local_trade_date",AN29,"Yas_bond_px",$Q29)/100</f>
        <v>6.6594329999999993E-2</v>
      </c>
      <c r="K29" s="11" t="str">
        <f>_xll.BDP(AI29,"PAYMENT_RANK")</f>
        <v>Sr Unsecured</v>
      </c>
      <c r="L29" s="11" t="str">
        <f>IF((TEXT(_xll.BDP(AI29,"MATURITY"),"DD/MM/YYYY")="#N/A Field Not Applicable"),"Perp",TEXT(_xll.BDP(AI29,"MATURITY"),"DD/MM/YYYY"))</f>
        <v>08/03/2047</v>
      </c>
      <c r="M29" s="6">
        <f>(IF(_xll.BDP($AI29&amp;" ISIN","DU003")="#n/a n/a"," ",_xll.BDP($AI29&amp;" ISIN","DU003")))</f>
        <v>11.837853361879842</v>
      </c>
      <c r="N29" s="11" t="str">
        <f>IF(_xll.BDP(AI29,"CALLABLE")="Y",_xll.BDP(AI29,"NXT_CALL_DT")," ")</f>
        <v xml:space="preserve"> </v>
      </c>
      <c r="O29" s="35">
        <v>200000</v>
      </c>
      <c r="P29" s="34">
        <v>100.899</v>
      </c>
      <c r="Q29" s="13">
        <f>_xll.BDP(AI29,"px_bid")</f>
        <v>98.168000000000006</v>
      </c>
      <c r="R29" s="7">
        <f>IF(F29="USD",AG29,(((_xll.BDP(F29&amp;"USD CURNCY","PX_LAST")))*AG29))</f>
        <v>201798</v>
      </c>
      <c r="S29" s="7">
        <f>IF(F29="USD",AH29,(((_xll.BDP(F29&amp;"USD CURNCY","PX_LAST")))*AH29))+AP29</f>
        <v>197491.55555555556</v>
      </c>
      <c r="T29" s="8">
        <f t="shared" si="0"/>
        <v>-5461.9999999999891</v>
      </c>
      <c r="U29" s="9">
        <f t="shared" si="1"/>
        <v>-2.7066670631027013E-2</v>
      </c>
      <c r="V29" s="9" cm="1">
        <f t="array" ref="V29">IFERROR(_xll.BDP($G29&amp;" ISIN","CHG_PCT_1D")/100,"")</f>
        <v>9.8497957344855815E-3</v>
      </c>
      <c r="W29" s="9" cm="1">
        <f t="array" ref="W29">IFERROR(_xll.BDP($G29&amp;" ISIN","CHG_PCT_5D")/100,"")</f>
        <v>-3.1196896026717762E-2</v>
      </c>
      <c r="X29" s="9" cm="1">
        <f t="array" ref="X29">_xll.BDP($G29&amp;" ISIN","CHG_PCT_1M")/100</f>
        <v>-3.5507529825933894E-2</v>
      </c>
      <c r="Y29" s="9" cm="1">
        <f t="array" ref="Y29">_xll.BDP($G29&amp;" ISIN","CHG_PCT_3M")/100</f>
        <v>1.0273902444021061E-2</v>
      </c>
      <c r="Z29" s="9" cm="1">
        <f t="array" ref="Z29">_xll.BDP($G29&amp;" ISIN","CHG_PCT_6M")/100</f>
        <v>-5.4725462195343966E-2</v>
      </c>
      <c r="AA29" s="9" cm="1">
        <f t="array" ref="AA29">_xll.BDP($G29&amp;" ISIN","CHG_PCT_YTD")/100</f>
        <v>-3.5361036179391014E-3</v>
      </c>
      <c r="AB29" s="9" t="e">
        <f t="shared" si="2"/>
        <v>#VALUE!</v>
      </c>
      <c r="AC29" s="12">
        <f t="shared" ca="1" si="3"/>
        <v>279.66666666667697</v>
      </c>
      <c r="AD29" s="11" t="str">
        <f>_xll.BDP(AI29,"DS199")</f>
        <v>Government</v>
      </c>
      <c r="AE29" s="13">
        <f>_xll.BDP(AI29,"px_ask")</f>
        <v>99.088999999999999</v>
      </c>
      <c r="AF29" s="12">
        <f>IF(F29="USD",O29,(((_xll.BDP(F29&amp;"USD CURNCY","PX_LAST")))*O29))</f>
        <v>200000</v>
      </c>
      <c r="AG29" s="7">
        <f t="shared" si="4"/>
        <v>201798</v>
      </c>
      <c r="AH29" s="7">
        <f t="shared" si="5"/>
        <v>196336</v>
      </c>
      <c r="AI29" s="11" t="str">
        <f t="shared" si="6"/>
        <v>XS1575968026 ISIN</v>
      </c>
      <c r="AJ29" s="11" t="e" cm="1">
        <f t="array" ref="AJ29">VLOOKUP(IF(NOT(_xll.BDP($G29&amp;" CORP",$CA$4)="#N/A N/A"),(_xll.BDP($G29&amp;" CORP",$CA$4)),"-"), '[1]Country Codes'!$A$2:$B$253,2,0)</f>
        <v>#N/A</v>
      </c>
      <c r="AK29" s="11" t="str" cm="1">
        <f t="array" ref="AK29">IF(OR(_xll.BDP($AI29,"EX028")= "#N/A N/A", _xll.BDP($AI29,"EX028")="#N/A FIELD NOT APPLICABLE"), " ", _xll.BDP($AI29,"EX028"))</f>
        <v>FixedIncome</v>
      </c>
      <c r="AL29" s="5" t="str">
        <f>(IF(_xll.BDP($AI29&amp;" ISIN","DZ282")="Y","Single line Bonds Cocos","Single line Bonds ex Cocos"))</f>
        <v>Single line Bonds ex Cocos</v>
      </c>
      <c r="AM29" s="6">
        <f>(IF(_xll.BDP($G29&amp;" ISIN","SP153")="#n/a n/a"," ",_xll.BDP($G29&amp;" ISIN","SP153")))</f>
        <v>278.17881733263982</v>
      </c>
      <c r="AN29" s="14">
        <f t="shared" ca="1" si="7"/>
        <v>45755</v>
      </c>
      <c r="AO29" s="7">
        <f>(((_xll.BDP(AI29,"DS032"))/360)*I29)*O29</f>
        <v>1155.5555555555557</v>
      </c>
      <c r="AP29" s="7">
        <f>IF(F29="USD",AO29,(((_xll.BDP(F29&amp;"USD CURNCY","PX_LAST")))*AO29))</f>
        <v>1155.5555555555557</v>
      </c>
      <c r="AQ29" s="9" t="e">
        <f>S29/$S$137</f>
        <v>#DIV/0!</v>
      </c>
      <c r="AR29" s="7">
        <f t="shared" si="8"/>
        <v>196336</v>
      </c>
      <c r="AS29" s="13">
        <f>IF((TEXT(_xll.BDP(AI29,"MATURITY"),"DD/MM/YYYY")="#N/A Field Not Applicable"),"Perp",_xll.BDP(AI29,"DS252"))</f>
        <v>21.913757700205338</v>
      </c>
      <c r="AT29" s="5" t="str">
        <f>(IF(_xll.BDP($AI29&amp;" ISIN","DT247")="Y","Yes","No"))</f>
        <v>No</v>
      </c>
      <c r="AU29" s="5" t="str">
        <f>PROPER(IF(OR(_xll.BDP($AI29,"CPN_TYP")="#n/a N/A",_xll.BDP($AI29,"CPN_TYP")= "#N/A FIELD NOT APPLICABLE"), " ", _xll.BDP($AI29,"CPN_TYP")))</f>
        <v>Fixed</v>
      </c>
      <c r="BG29" s="27" t="str">
        <f t="shared" si="9"/>
        <v>XS1575968026</v>
      </c>
      <c r="BH29" s="27">
        <v>0.62</v>
      </c>
      <c r="BI29" s="28">
        <v>4</v>
      </c>
      <c r="BJ29" s="36">
        <v>45596</v>
      </c>
      <c r="BK29" s="30">
        <v>1</v>
      </c>
    </row>
    <row r="30" spans="1:63" s="15" customFormat="1" ht="14.45" customHeight="1" x14ac:dyDescent="0.25">
      <c r="A30" s="16" t="s">
        <v>138</v>
      </c>
      <c r="B30" s="16" t="s">
        <v>76</v>
      </c>
      <c r="C30" s="16" t="s">
        <v>77</v>
      </c>
      <c r="D30" s="16" t="s">
        <v>53</v>
      </c>
      <c r="E30" s="11" t="str">
        <f>_xll.BDP(AI30,"ds520")</f>
        <v>Perusahaan Penerbit SBSN Indonesia III</v>
      </c>
      <c r="F30" s="11" t="str">
        <f>_xll.BDP(AI30,"crncy")</f>
        <v>USD</v>
      </c>
      <c r="G30" s="34" t="s">
        <v>78</v>
      </c>
      <c r="H30" s="11" t="str">
        <f>IF(_xll.BDP(AI30,"RTG_MOODY")="#N/A N/A","N/A",_xll.BDP(AI30,"RTG_MOODY"))&amp;","&amp;IF(_xll.BDP(AI30,"RTG_FITCH")="#N/A N/A","N/A",_xll.BDP(AI30,"RTG_FITCH"))&amp;","&amp;IF(_xll.BDP(AI30,"RTG_SP")="#N/A N/A","N/A",_xll.BDP(AI30,"RTG_SP"))</f>
        <v>Baa2,BBB,BBB</v>
      </c>
      <c r="I30" s="5">
        <f>_xll.BDP(AI30,"cpn")/100</f>
        <v>5.6500000000000002E-2</v>
      </c>
      <c r="J30" s="5">
        <f ca="1">_xll.BDP($G30&amp;" isin","YAS_BOND_YLD", "YAS_YLD_FLAG=15", "user_local_trade_date",AN30,"Yas_bond_px",$Q30)/100</f>
        <v>6.0119909999999999E-2</v>
      </c>
      <c r="K30" s="11" t="str">
        <f>_xll.BDP(AI30,"PAYMENT_RANK")</f>
        <v>Sr Unsecured</v>
      </c>
      <c r="L30" s="11" t="str">
        <f>IF((TEXT(_xll.BDP(AI30,"MATURITY"),"DD/MM/YYYY")="#N/A Field Not Applicable"),"Perp",TEXT(_xll.BDP(AI30,"MATURITY"),"DD/MM/YYYY"))</f>
        <v>25/11/2054</v>
      </c>
      <c r="M30" s="6">
        <f>(IF(_xll.BDP($AI30&amp;" ISIN","DU003")="#n/a n/a"," ",_xll.BDP($AI30&amp;" ISIN","DU003")))</f>
        <v>14.060795170556714</v>
      </c>
      <c r="N30" s="11" t="str">
        <f>IF(_xll.BDP(AI30,"CALLABLE")="Y",_xll.BDP(AI30,"NXT_CALL_DT")," ")</f>
        <v xml:space="preserve"> </v>
      </c>
      <c r="O30" s="35">
        <v>200000</v>
      </c>
      <c r="P30" s="34">
        <v>100.084</v>
      </c>
      <c r="Q30" s="13">
        <f>_xll.BDP(AI30,"px_bid")</f>
        <v>95.012</v>
      </c>
      <c r="R30" s="7">
        <f>IF(F30="USD",AG30,(((_xll.BDP(F30&amp;"USD CURNCY","PX_LAST")))*AG30))</f>
        <v>200168</v>
      </c>
      <c r="S30" s="7">
        <f>IF(F30="USD",AH30,(((_xll.BDP(F30&amp;"USD CURNCY","PX_LAST")))*AH30))+AP30</f>
        <v>194230.11111111112</v>
      </c>
      <c r="T30" s="8">
        <f t="shared" si="0"/>
        <v>-10144.000000000005</v>
      </c>
      <c r="U30" s="9">
        <f t="shared" si="1"/>
        <v>-5.0677430957995311E-2</v>
      </c>
      <c r="V30" s="9" cm="1">
        <f t="array" ref="V30">IFERROR(_xll.BDP($G30&amp;" ISIN","CHG_PCT_1D")/100,"")</f>
        <v>-6.8306295424726852E-3</v>
      </c>
      <c r="W30" s="9" cm="1">
        <f t="array" ref="W30">IFERROR(_xll.BDP($G30&amp;" ISIN","CHG_PCT_5D")/100,"")</f>
        <v>-2.0929779000420864E-2</v>
      </c>
      <c r="X30" s="9" cm="1">
        <f t="array" ref="X30">_xll.BDP($G30&amp;" ISIN","CHG_PCT_1M")/100</f>
        <v>-4.0924264972046751E-2</v>
      </c>
      <c r="Y30" s="9" cm="1">
        <f t="array" ref="Y30">_xll.BDP($G30&amp;" ISIN","CHG_PCT_3M")/100</f>
        <v>-1.5701545032030259E-3</v>
      </c>
      <c r="Z30" s="9" t="e" cm="1">
        <f t="array" ref="Z30">_xll.BDP($G30&amp;" ISIN","CHG_PCT_6M")/100</f>
        <v>#VALUE!</v>
      </c>
      <c r="AA30" s="9" cm="1">
        <f t="array" ref="AA30">_xll.BDP($G30&amp;" ISIN","CHG_PCT_YTD")/100</f>
        <v>-2.9684638860630642E-2</v>
      </c>
      <c r="AB30" s="9" t="e">
        <f t="shared" si="2"/>
        <v>#VALUE!</v>
      </c>
      <c r="AC30" s="12">
        <f t="shared" ca="1" si="3"/>
        <v>-5937.8888888888941</v>
      </c>
      <c r="AD30" s="11" t="str">
        <f>_xll.BDP(AI30,"DS199")</f>
        <v>Government</v>
      </c>
      <c r="AE30" s="13">
        <f>_xll.BDP(AI30,"px_ask")</f>
        <v>95.753</v>
      </c>
      <c r="AF30" s="12">
        <f>IF(F30="USD",O30,(((_xll.BDP(F30&amp;"USD CURNCY","PX_LAST")))*O30))</f>
        <v>200000</v>
      </c>
      <c r="AG30" s="7">
        <f t="shared" si="4"/>
        <v>200168</v>
      </c>
      <c r="AH30" s="7">
        <f t="shared" si="5"/>
        <v>190024</v>
      </c>
      <c r="AI30" s="11" t="str">
        <f t="shared" si="6"/>
        <v>USY68613AF87 ISIN</v>
      </c>
      <c r="AJ30" s="11" t="e" cm="1">
        <f t="array" ref="AJ30">VLOOKUP(IF(NOT(_xll.BDP($G30&amp;" CORP",$CA$4)="#N/A N/A"),(_xll.BDP($G30&amp;" CORP",$CA$4)),"-"), '[1]Country Codes'!$A$2:$B$253,2,0)</f>
        <v>#N/A</v>
      </c>
      <c r="AK30" s="11" t="str" cm="1">
        <f t="array" ref="AK30">IF(OR(_xll.BDP($AI30,"EX028")= "#N/A N/A", _xll.BDP($AI30,"EX028")="#N/A FIELD NOT APPLICABLE"), " ", _xll.BDP($AI30,"EX028"))</f>
        <v>FixedIncome</v>
      </c>
      <c r="AL30" s="5" t="str">
        <f>(IF(_xll.BDP($AI30&amp;" ISIN","DZ282")="Y","Single line Bonds Cocos","Single line Bonds ex Cocos"))</f>
        <v>Single line Bonds ex Cocos</v>
      </c>
      <c r="AM30" s="6">
        <f>(IF(_xll.BDP($G30&amp;" ISIN","SP153")="#n/a n/a"," ",_xll.BDP($G30&amp;" ISIN","SP153")))</f>
        <v>219.89622287917575</v>
      </c>
      <c r="AN30" s="14">
        <f t="shared" ca="1" si="7"/>
        <v>45755</v>
      </c>
      <c r="AO30" s="7">
        <f>(((_xll.BDP(AI30,"DS032"))/360)*I30)*O30</f>
        <v>4206.1111111111113</v>
      </c>
      <c r="AP30" s="7">
        <f>IF(F30="USD",AO30,(((_xll.BDP(F30&amp;"USD CURNCY","PX_LAST")))*AO30))</f>
        <v>4206.1111111111113</v>
      </c>
      <c r="AQ30" s="9" t="e">
        <f>S30/$S$140</f>
        <v>#DIV/0!</v>
      </c>
      <c r="AR30" s="7">
        <f t="shared" si="8"/>
        <v>190024</v>
      </c>
      <c r="AS30" s="13">
        <f>IF((TEXT(_xll.BDP(AI30,"MATURITY"),"DD/MM/YYYY")="#N/A Field Not Applicable"),"Perp",_xll.BDP(AI30,"DS252"))</f>
        <v>29.631759069130734</v>
      </c>
      <c r="AT30" s="5" t="str">
        <f>(IF(_xll.BDP($AI30&amp;" ISIN","DT247")="Y","Yes","No"))</f>
        <v>No</v>
      </c>
      <c r="AU30" s="5" t="str">
        <f>PROPER(IF(OR(_xll.BDP($AI30,"CPN_TYP")="#n/a N/A",_xll.BDP($AI30,"CPN_TYP")= "#N/A FIELD NOT APPLICABLE"), " ", _xll.BDP($AI30,"CPN_TYP")))</f>
        <v>Fixed</v>
      </c>
      <c r="BG30" s="27" t="str">
        <f t="shared" si="9"/>
        <v>USY68613AF87</v>
      </c>
      <c r="BH30" s="27">
        <v>0.64770000000000005</v>
      </c>
      <c r="BI30" s="28">
        <v>3</v>
      </c>
      <c r="BJ30" s="36">
        <v>45621</v>
      </c>
      <c r="BK30" s="30"/>
    </row>
    <row r="31" spans="1:63" s="15" customFormat="1" ht="14.45" customHeight="1" x14ac:dyDescent="0.25">
      <c r="A31" s="16" t="s">
        <v>138</v>
      </c>
      <c r="B31" s="16" t="s">
        <v>41</v>
      </c>
      <c r="C31" s="16" t="s">
        <v>42</v>
      </c>
      <c r="D31" s="16" t="s">
        <v>43</v>
      </c>
      <c r="E31" s="11" t="str">
        <f>_xll.BDP(AI31,"ds520")</f>
        <v>Saudi Electricity Global Sukuk Co 3</v>
      </c>
      <c r="F31" s="11" t="str">
        <f>_xll.BDP(AI31,"crncy")</f>
        <v>USD</v>
      </c>
      <c r="G31" s="34" t="s">
        <v>45</v>
      </c>
      <c r="H31" s="11" t="str">
        <f>IF(_xll.BDP(AI31,"RTG_MOODY")="#N/A N/A","N/A",_xll.BDP(AI31,"RTG_MOODY"))&amp;","&amp;IF(_xll.BDP(AI31,"RTG_FITCH")="#N/A N/A","N/A",_xll.BDP(AI31,"RTG_FITCH"))&amp;","&amp;IF(_xll.BDP(AI31,"RTG_SP")="#N/A N/A","N/A",_xll.BDP(AI31,"RTG_SP"))</f>
        <v>Aa3,A+,A+</v>
      </c>
      <c r="I31" s="5">
        <f>_xll.BDP(AI31,"cpn")/100</f>
        <v>5.5E-2</v>
      </c>
      <c r="J31" s="5">
        <f ca="1">_xll.BDP($G31&amp;" isin","YAS_BOND_YLD", "YAS_YLD_FLAG=15", "user_local_trade_date",AN31,"Yas_bond_px",$Q31)/100</f>
        <v>5.6297239999999998E-2</v>
      </c>
      <c r="K31" s="11" t="str">
        <f>_xll.BDP(AI31,"PAYMENT_RANK")</f>
        <v>Sr Unsecured</v>
      </c>
      <c r="L31" s="11" t="str">
        <f>IF((TEXT(_xll.BDP(AI31,"MATURITY"),"DD/MM/YYYY")="#N/A Field Not Applicable"),"Perp",TEXT(_xll.BDP(AI31,"MATURITY"),"DD/MM/YYYY"))</f>
        <v>08/04/2044</v>
      </c>
      <c r="M31" s="6">
        <f>(IF(_xll.BDP($AI31&amp;" ISIN","DU003")="#n/a n/a"," ",_xll.BDP($AI31&amp;" ISIN","DU003")))</f>
        <v>11.968599523208333</v>
      </c>
      <c r="N31" s="11" t="str">
        <f>IF(_xll.BDP(AI31,"CALLABLE")="Y",_xll.BDP(AI31,"NXT_CALL_DT")," ")</f>
        <v xml:space="preserve"> </v>
      </c>
      <c r="O31" s="35">
        <v>300000</v>
      </c>
      <c r="P31" s="34">
        <v>99.8</v>
      </c>
      <c r="Q31" s="13">
        <f>_xll.BDP(AI31,"px_bid")</f>
        <v>98.498000000000005</v>
      </c>
      <c r="R31" s="7">
        <f>IF(F31="USD",AG31,(((_xll.BDP(F31&amp;"USD CURNCY","PX_LAST")))*AG31))</f>
        <v>299400</v>
      </c>
      <c r="S31" s="7">
        <f>IF(F31="USD",AH31,(((_xll.BDP(F31&amp;"USD CURNCY","PX_LAST")))*AH31))+AP31</f>
        <v>295584.41095890413</v>
      </c>
      <c r="T31" s="8">
        <f t="shared" si="0"/>
        <v>-3905.9999999999777</v>
      </c>
      <c r="U31" s="9">
        <f t="shared" si="1"/>
        <v>-1.3046092184368663E-2</v>
      </c>
      <c r="V31" s="9" cm="1">
        <f t="array" ref="V31">IFERROR(_xll.BDP($G31&amp;" ISIN","CHG_PCT_1D")/100,"")</f>
        <v>-5.4841634404465258E-3</v>
      </c>
      <c r="W31" s="9" cm="1">
        <f t="array" ref="W31">IFERROR(_xll.BDP($G31&amp;" ISIN","CHG_PCT_5D")/100,"")</f>
        <v>-7.087530611273137E-3</v>
      </c>
      <c r="X31" s="9" cm="1">
        <f t="array" ref="X31">_xll.BDP($G31&amp;" ISIN","CHG_PCT_1M")/100</f>
        <v>-8.8502532497289031E-3</v>
      </c>
      <c r="Y31" s="9" cm="1">
        <f t="array" ref="Y31">_xll.BDP($G31&amp;" ISIN","CHG_PCT_3M")/100</f>
        <v>1.4293849009643179E-2</v>
      </c>
      <c r="Z31" s="9" cm="1">
        <f t="array" ref="Z31">_xll.BDP($G31&amp;" ISIN","CHG_PCT_6M")/100</f>
        <v>-2.4122964642136414E-2</v>
      </c>
      <c r="AA31" s="9" cm="1">
        <f t="array" ref="AA31">_xll.BDP($G31&amp;" ISIN","CHG_PCT_YTD")/100</f>
        <v>9.8503223433493905E-3</v>
      </c>
      <c r="AB31" s="9" t="e">
        <f t="shared" si="2"/>
        <v>#VALUE!</v>
      </c>
      <c r="AC31" s="12">
        <f t="shared" ca="1" si="3"/>
        <v>13694.000000000022</v>
      </c>
      <c r="AD31" s="11" t="str">
        <f>_xll.BDP(AI31,"DS199")</f>
        <v>Utilities</v>
      </c>
      <c r="AE31" s="13">
        <f>_xll.BDP(AI31,"px_ask")</f>
        <v>99.188000000000002</v>
      </c>
      <c r="AF31" s="12">
        <f>IF(F31="USD",O31,(((_xll.BDP(F31&amp;"USD CURNCY","PX_LAST")))*O31))</f>
        <v>300000</v>
      </c>
      <c r="AG31" s="7">
        <f t="shared" si="4"/>
        <v>299400</v>
      </c>
      <c r="AH31" s="7">
        <f t="shared" si="5"/>
        <v>295494</v>
      </c>
      <c r="AI31" s="11" t="str">
        <f t="shared" si="6"/>
        <v>XS1054250318 ISIN</v>
      </c>
      <c r="AJ31" s="11" t="e" cm="1">
        <f t="array" ref="AJ31">VLOOKUP(IF(NOT(_xll.BDP($G31&amp;" CORP",$CA$4)="#N/A N/A"),(_xll.BDP($G31&amp;" CORP",$CA$4)),"-"), '[1]Country Codes'!$A$2:$B$253,2,0)</f>
        <v>#N/A</v>
      </c>
      <c r="AK31" s="11" t="str" cm="1">
        <f t="array" ref="AK31">IF(OR(_xll.BDP($AI31,"EX028")= "#N/A N/A", _xll.BDP($AI31,"EX028")="#N/A FIELD NOT APPLICABLE"), " ", _xll.BDP($AI31,"EX028"))</f>
        <v>FixedIncome</v>
      </c>
      <c r="AL31" s="5" t="str">
        <f>(IF(_xll.BDP($AI31&amp;" ISIN","DZ282")="Y","Single line Bonds Cocos","Single line Bonds ex Cocos"))</f>
        <v>Single line Bonds ex Cocos</v>
      </c>
      <c r="AM31" s="6">
        <f>(IF(_xll.BDP($G31&amp;" ISIN","SP153")="#n/a n/a"," ",_xll.BDP($G31&amp;" ISIN","SP153")))</f>
        <v>174.59903299126034</v>
      </c>
      <c r="AN31" s="14">
        <f t="shared" ca="1" si="7"/>
        <v>45755</v>
      </c>
      <c r="AO31" s="7">
        <f>(((_xll.BDP(AI31,"DS032"))/365)*I31)*O31</f>
        <v>90.410958904109592</v>
      </c>
      <c r="AP31" s="7">
        <f>IF(F31="USD",AO31,(((_xll.BDP(F31&amp;"USD CURNCY","PX_LAST")))*AO31))</f>
        <v>90.410958904109592</v>
      </c>
      <c r="AQ31" s="9" t="e">
        <f>S31/$S$129</f>
        <v>#DIV/0!</v>
      </c>
      <c r="AR31" s="7">
        <f t="shared" si="8"/>
        <v>295494</v>
      </c>
      <c r="AS31" s="13">
        <f>IF((TEXT(_xll.BDP(AI31,"MATURITY"),"DD/MM/YYYY")="#N/A Field Not Applicable"),"Perp",_xll.BDP(AI31,"DS252"))</f>
        <v>19.000684462696782</v>
      </c>
      <c r="AT31" s="5" t="str">
        <f>(IF(_xll.BDP($AI31&amp;" ISIN","DT247")="Y","Yes","No"))</f>
        <v>No</v>
      </c>
      <c r="AU31" s="5" t="str">
        <f>PROPER(IF(OR(_xll.BDP($AI31,"CPN_TYP")="#n/a N/A",_xll.BDP($AI31,"CPN_TYP")= "#N/A FIELD NOT APPLICABLE"), " ", _xll.BDP($AI31,"CPN_TYP")))</f>
        <v>Fixed</v>
      </c>
      <c r="BG31" s="27" t="str">
        <f t="shared" si="9"/>
        <v>XS1054250318</v>
      </c>
      <c r="BH31" s="27">
        <v>0.6961032388663968</v>
      </c>
      <c r="BI31" s="28">
        <v>3</v>
      </c>
      <c r="BJ31" s="36">
        <v>45371</v>
      </c>
      <c r="BK31" s="30">
        <v>1</v>
      </c>
    </row>
    <row r="32" spans="1:63" s="15" customFormat="1" ht="14.45" customHeight="1" x14ac:dyDescent="0.25">
      <c r="A32" s="16" t="s">
        <v>138</v>
      </c>
      <c r="B32" s="16" t="s">
        <v>76</v>
      </c>
      <c r="C32" s="16" t="s">
        <v>77</v>
      </c>
      <c r="D32" s="16" t="s">
        <v>53</v>
      </c>
      <c r="E32" s="11" t="str">
        <f>_xll.BDP(AI32,"ds520")</f>
        <v>Saudi Electricity Global Sukuk Co 3</v>
      </c>
      <c r="F32" s="11" t="str">
        <f>_xll.BDP(AI32,"crncy")</f>
        <v>USD</v>
      </c>
      <c r="G32" s="34" t="s">
        <v>45</v>
      </c>
      <c r="H32" s="11" t="str">
        <f>IF(_xll.BDP(AI32,"RTG_MOODY")="#N/A N/A","N/A",_xll.BDP(AI32,"RTG_MOODY"))&amp;","&amp;IF(_xll.BDP(AI32,"RTG_FITCH")="#N/A N/A","N/A",_xll.BDP(AI32,"RTG_FITCH"))&amp;","&amp;IF(_xll.BDP(AI32,"RTG_SP")="#N/A N/A","N/A",_xll.BDP(AI32,"RTG_SP"))</f>
        <v>Aa3,A+,A+</v>
      </c>
      <c r="I32" s="5">
        <f>_xll.BDP(AI32,"cpn")/100</f>
        <v>5.5E-2</v>
      </c>
      <c r="J32" s="5">
        <f ca="1">_xll.BDP($G32&amp;" isin","YAS_BOND_YLD", "YAS_YLD_FLAG=15", "user_local_trade_date",AN32,"Yas_bond_px",$Q32)/100</f>
        <v>5.6297239999999998E-2</v>
      </c>
      <c r="K32" s="11" t="str">
        <f>_xll.BDP(AI32,"PAYMENT_RANK")</f>
        <v>Sr Unsecured</v>
      </c>
      <c r="L32" s="11" t="str">
        <f>IF((TEXT(_xll.BDP(AI32,"MATURITY"),"DD/MM/YYYY")="#N/A Field Not Applicable"),"Perp",TEXT(_xll.BDP(AI32,"MATURITY"),"DD/MM/YYYY"))</f>
        <v>08/04/2044</v>
      </c>
      <c r="M32" s="6">
        <f>(IF(_xll.BDP($AI32&amp;" ISIN","DU003")="#n/a n/a"," ",_xll.BDP($AI32&amp;" ISIN","DU003")))</f>
        <v>11.968599523208333</v>
      </c>
      <c r="N32" s="11" t="str">
        <f>IF(_xll.BDP(AI32,"CALLABLE")="Y",_xll.BDP(AI32,"NXT_CALL_DT")," ")</f>
        <v xml:space="preserve"> </v>
      </c>
      <c r="O32" s="35">
        <v>500000</v>
      </c>
      <c r="P32" s="34">
        <v>99.783000000000001</v>
      </c>
      <c r="Q32" s="13">
        <f>_xll.BDP(AI32,"px_bid")</f>
        <v>98.498000000000005</v>
      </c>
      <c r="R32" s="7">
        <f>IF(F32="USD",AG32,(((_xll.BDP(F32&amp;"USD CURNCY","PX_LAST")))*AG32))</f>
        <v>498915</v>
      </c>
      <c r="S32" s="7">
        <f>IF(F32="USD",AH32,(((_xll.BDP(F32&amp;"USD CURNCY","PX_LAST")))*AH32))+AP32</f>
        <v>492642.77777777775</v>
      </c>
      <c r="T32" s="8">
        <f t="shared" si="0"/>
        <v>-6424.9999999999836</v>
      </c>
      <c r="U32" s="9">
        <f t="shared" si="1"/>
        <v>-1.2877945140955841E-2</v>
      </c>
      <c r="V32" s="9" cm="1">
        <f t="array" ref="V32">IFERROR(_xll.BDP($G32&amp;" ISIN","CHG_PCT_1D")/100,"")</f>
        <v>-5.4841634404465258E-3</v>
      </c>
      <c r="W32" s="9" cm="1">
        <f t="array" ref="W32">IFERROR(_xll.BDP($G32&amp;" ISIN","CHG_PCT_5D")/100,"")</f>
        <v>-7.087530611273137E-3</v>
      </c>
      <c r="X32" s="9" cm="1">
        <f t="array" ref="X32">_xll.BDP($G32&amp;" ISIN","CHG_PCT_1M")/100</f>
        <v>-8.8502532497289031E-3</v>
      </c>
      <c r="Y32" s="9" cm="1">
        <f t="array" ref="Y32">_xll.BDP($G32&amp;" ISIN","CHG_PCT_3M")/100</f>
        <v>1.4293849009643179E-2</v>
      </c>
      <c r="Z32" s="9" cm="1">
        <f t="array" ref="Z32">_xll.BDP($G32&amp;" ISIN","CHG_PCT_6M")/100</f>
        <v>-2.4122964642136414E-2</v>
      </c>
      <c r="AA32" s="9" cm="1">
        <f t="array" ref="AA32">_xll.BDP($G32&amp;" ISIN","CHG_PCT_YTD")/100</f>
        <v>9.8503223433493905E-3</v>
      </c>
      <c r="AB32" s="9" t="e">
        <f t="shared" si="2"/>
        <v>#VALUE!</v>
      </c>
      <c r="AC32" s="12">
        <f t="shared" ca="1" si="3"/>
        <v>22297.222222222241</v>
      </c>
      <c r="AD32" s="11" t="str">
        <f>_xll.BDP(AI32,"DS199")</f>
        <v>Utilities</v>
      </c>
      <c r="AE32" s="13">
        <f>_xll.BDP(AI32,"px_ask")</f>
        <v>99.188000000000002</v>
      </c>
      <c r="AF32" s="12">
        <f>IF(F32="USD",O32,(((_xll.BDP(F32&amp;"USD CURNCY","PX_LAST")))*O32))</f>
        <v>500000</v>
      </c>
      <c r="AG32" s="7">
        <f t="shared" si="4"/>
        <v>498915</v>
      </c>
      <c r="AH32" s="7">
        <f t="shared" si="5"/>
        <v>492490</v>
      </c>
      <c r="AI32" s="11" t="str">
        <f t="shared" si="6"/>
        <v>XS1054250318 ISIN</v>
      </c>
      <c r="AJ32" s="11" t="e" cm="1">
        <f t="array" ref="AJ32">VLOOKUP(IF(NOT(_xll.BDP($G32&amp;" CORP",$CA$4)="#N/A N/A"),(_xll.BDP($G32&amp;" CORP",$CA$4)),"-"), '[1]Country Codes'!$A$2:$B$253,2,0)</f>
        <v>#N/A</v>
      </c>
      <c r="AK32" s="11" t="str" cm="1">
        <f t="array" ref="AK32">IF(OR(_xll.BDP($AI32,"EX028")= "#N/A N/A", _xll.BDP($AI32,"EX028")="#N/A FIELD NOT APPLICABLE"), " ", _xll.BDP($AI32,"EX028"))</f>
        <v>FixedIncome</v>
      </c>
      <c r="AL32" s="5" t="str">
        <f>(IF(_xll.BDP($AI32&amp;" ISIN","DZ282")="Y","Single line Bonds Cocos","Single line Bonds ex Cocos"))</f>
        <v>Single line Bonds ex Cocos</v>
      </c>
      <c r="AM32" s="6">
        <f>(IF(_xll.BDP($G32&amp;" ISIN","SP153")="#n/a n/a"," ",_xll.BDP($G32&amp;" ISIN","SP153")))</f>
        <v>174.59903299126034</v>
      </c>
      <c r="AN32" s="14">
        <f t="shared" ca="1" si="7"/>
        <v>45755</v>
      </c>
      <c r="AO32" s="7">
        <f>(((_xll.BDP(AI32,"DS032"))/360)*I32)*O32</f>
        <v>152.77777777777777</v>
      </c>
      <c r="AP32" s="7">
        <f>IF(F32="USD",AO32,(((_xll.BDP(F32&amp;"USD CURNCY","PX_LAST")))*AO32))</f>
        <v>152.77777777777777</v>
      </c>
      <c r="AQ32" s="9" t="e">
        <f>S32/$S$140</f>
        <v>#DIV/0!</v>
      </c>
      <c r="AR32" s="7">
        <f t="shared" si="8"/>
        <v>492490</v>
      </c>
      <c r="AS32" s="13">
        <f>IF((TEXT(_xll.BDP(AI32,"MATURITY"),"DD/MM/YYYY")="#N/A Field Not Applicable"),"Perp",_xll.BDP(AI32,"DS252"))</f>
        <v>19.000684462696782</v>
      </c>
      <c r="AT32" s="5" t="str">
        <f>(IF(_xll.BDP($AI32&amp;" ISIN","DT247")="Y","Yes","No"))</f>
        <v>No</v>
      </c>
      <c r="AU32" s="5" t="str">
        <f>PROPER(IF(OR(_xll.BDP($AI32,"CPN_TYP")="#n/a N/A",_xll.BDP($AI32,"CPN_TYP")= "#N/A FIELD NOT APPLICABLE"), " ", _xll.BDP($AI32,"CPN_TYP")))</f>
        <v>Fixed</v>
      </c>
      <c r="BG32" s="27" t="str">
        <f t="shared" si="9"/>
        <v>XS1054250318</v>
      </c>
      <c r="BH32" s="27">
        <v>0.75149999999999995</v>
      </c>
      <c r="BI32" s="28">
        <v>3</v>
      </c>
      <c r="BJ32" s="36">
        <v>45379</v>
      </c>
      <c r="BK32" s="30"/>
    </row>
    <row r="33" spans="1:63" s="15" customFormat="1" ht="14.45" customHeight="1" x14ac:dyDescent="0.25">
      <c r="A33" s="16" t="s">
        <v>138</v>
      </c>
      <c r="B33" s="16" t="s">
        <v>51</v>
      </c>
      <c r="C33" s="16" t="s">
        <v>52</v>
      </c>
      <c r="D33" s="16" t="s">
        <v>53</v>
      </c>
      <c r="E33" s="11" t="str">
        <f>_xll.BDP(AI33,"ds520")</f>
        <v>Saudi Electricity Sukuk Programme Co</v>
      </c>
      <c r="F33" s="11" t="str">
        <f>_xll.BDP(AI33,"crncy")</f>
        <v>USD</v>
      </c>
      <c r="G33" s="34" t="s">
        <v>56</v>
      </c>
      <c r="H33" s="11" t="str">
        <f>IF(_xll.BDP(AI33,"RTG_MOODY")="#N/A N/A","N/A",_xll.BDP(AI33,"RTG_MOODY"))&amp;","&amp;IF(_xll.BDP(AI33,"RTG_FITCH")="#N/A N/A","N/A",_xll.BDP(AI33,"RTG_FITCH"))&amp;","&amp;IF(_xll.BDP(AI33,"RTG_SP")="#N/A N/A","N/A",_xll.BDP(AI33,"RTG_SP"))</f>
        <v>Aa3,A+,N/A</v>
      </c>
      <c r="I33" s="5">
        <f>_xll.BDP(AI33,"cpn")/100</f>
        <v>5.6840000000000002E-2</v>
      </c>
      <c r="J33" s="5">
        <f ca="1">_xll.BDP($G33&amp;" isin","YAS_BOND_YLD", "YAS_YLD_FLAG=15", "user_local_trade_date",AN33,"Yas_bond_px",$Q33)/100</f>
        <v>5.8945449999999996E-2</v>
      </c>
      <c r="K33" s="11" t="str">
        <f>_xll.BDP(AI33,"PAYMENT_RANK")</f>
        <v>Sr Unsecured</v>
      </c>
      <c r="L33" s="11" t="str">
        <f>IF((TEXT(_xll.BDP(AI33,"MATURITY"),"DD/MM/YYYY")="#N/A Field Not Applicable"),"Perp",TEXT(_xll.BDP(AI33,"MATURITY"),"DD/MM/YYYY"))</f>
        <v>11/04/2053</v>
      </c>
      <c r="M33" s="6">
        <f>(IF(_xll.BDP($AI33&amp;" ISIN","DU003")="#n/a n/a"," ",_xll.BDP($AI33&amp;" ISIN","DU003")))</f>
        <v>13.76468834594753</v>
      </c>
      <c r="N33" s="11" t="str">
        <f>IF(_xll.BDP(AI33,"CALLABLE")="Y",_xll.BDP(AI33,"NXT_CALL_DT")," ")</f>
        <v xml:space="preserve"> </v>
      </c>
      <c r="O33" s="35">
        <v>300000</v>
      </c>
      <c r="P33" s="34">
        <v>97.055999999999997</v>
      </c>
      <c r="Q33" s="13">
        <f>_xll.BDP(AI33,"px_bid")</f>
        <v>97.13</v>
      </c>
      <c r="R33" s="7">
        <f>IF(F33="USD",AG33,(((_xll.BDP(F33&amp;"USD CURNCY","PX_LAST")))*AG33))</f>
        <v>291168</v>
      </c>
      <c r="S33" s="7">
        <f>IF(F33="USD",AH33,(((_xll.BDP(F33&amp;"USD CURNCY","PX_LAST")))*AH33))+AP33</f>
        <v>299868.63333333336</v>
      </c>
      <c r="T33" s="8">
        <f t="shared" si="0"/>
        <v>221.9999999999942</v>
      </c>
      <c r="U33" s="9">
        <f t="shared" si="1"/>
        <v>7.6244642268379146E-4</v>
      </c>
      <c r="V33" s="9" cm="1">
        <f t="array" ref="V33">IFERROR(_xll.BDP($G33&amp;" ISIN","CHG_PCT_1D")/100,"")</f>
        <v>-1.033472294069317E-2</v>
      </c>
      <c r="W33" s="9" cm="1">
        <f t="array" ref="W33">IFERROR(_xll.BDP($G33&amp;" ISIN","CHG_PCT_5D")/100,"")</f>
        <v>-1.4991356324178468E-2</v>
      </c>
      <c r="X33" s="9" cm="1">
        <f t="array" ref="X33">_xll.BDP($G33&amp;" ISIN","CHG_PCT_1M")/100</f>
        <v>-1.3906858822385593E-2</v>
      </c>
      <c r="Y33" s="9" cm="1">
        <f t="array" ref="Y33">_xll.BDP($G33&amp;" ISIN","CHG_PCT_3M")/100</f>
        <v>1.5603765713372139E-2</v>
      </c>
      <c r="Z33" s="9" cm="1">
        <f t="array" ref="Z33">_xll.BDP($G33&amp;" ISIN","CHG_PCT_6M")/100</f>
        <v>-2.5519923535809591E-2</v>
      </c>
      <c r="AA33" s="9" cm="1">
        <f t="array" ref="AA33">_xll.BDP($G33&amp;" ISIN","CHG_PCT_YTD")/100</f>
        <v>5.3662405877754234E-3</v>
      </c>
      <c r="AB33" s="9" t="e">
        <f t="shared" si="2"/>
        <v>#VALUE!</v>
      </c>
      <c r="AC33" s="12">
        <f t="shared" ca="1" si="3"/>
        <v>14810.933333333327</v>
      </c>
      <c r="AD33" s="11" t="str">
        <f>_xll.BDP(AI33,"DS199")</f>
        <v>Utilities</v>
      </c>
      <c r="AE33" s="13">
        <f>_xll.BDP(AI33,"px_ask")</f>
        <v>98.013999999999996</v>
      </c>
      <c r="AF33" s="12">
        <f>IF(F33="USD",O33,(((_xll.BDP(F33&amp;"USD CURNCY","PX_LAST")))*O33))</f>
        <v>300000</v>
      </c>
      <c r="AG33" s="7">
        <f t="shared" si="4"/>
        <v>291168</v>
      </c>
      <c r="AH33" s="7">
        <f t="shared" si="5"/>
        <v>291390</v>
      </c>
      <c r="AI33" s="11" t="str">
        <f t="shared" si="6"/>
        <v>XS2608638602 ISIN</v>
      </c>
      <c r="AJ33" s="11" t="e" cm="1">
        <f t="array" ref="AJ33">VLOOKUP(IF(NOT(_xll.BDP($G33&amp;" CORP",$CA$4)="#N/A N/A"),(_xll.BDP($G33&amp;" CORP",$CA$4)),"-"), '[1]Country Codes'!$A$2:$B$253,2,0)</f>
        <v>#N/A</v>
      </c>
      <c r="AK33" s="11" t="str" cm="1">
        <f t="array" ref="AK33">IF(OR(_xll.BDP($AI33,"EX028")= "#N/A N/A", _xll.BDP($AI33,"EX028")="#N/A FIELD NOT APPLICABLE"), " ", _xll.BDP($AI33,"EX028"))</f>
        <v>FixedIncome</v>
      </c>
      <c r="AL33" s="5" t="str">
        <f>(IF(_xll.BDP($AI33&amp;" ISIN","DZ282")="Y","Single line Bonds Cocos","Single line Bonds ex Cocos"))</f>
        <v>Single line Bonds ex Cocos</v>
      </c>
      <c r="AM33" s="6">
        <f>(IF(_xll.BDP($G33&amp;" ISIN","SP153")="#n/a n/a"," ",_xll.BDP($G33&amp;" ISIN","SP153")))</f>
        <v>206.26697693540407</v>
      </c>
      <c r="AN33" s="14">
        <f t="shared" ca="1" si="7"/>
        <v>45755</v>
      </c>
      <c r="AO33" s="7">
        <f>(((_xll.BDP(AI33,"DS032"))/360)*I33)*O33</f>
        <v>8478.6333333333332</v>
      </c>
      <c r="AP33" s="7">
        <f>IF(F33="USD",AO33,(((_xll.BDP(F33&amp;"USD CURNCY","PX_LAST")))*AO33))</f>
        <v>8478.6333333333332</v>
      </c>
      <c r="AQ33" s="9" t="e">
        <f>S33/#REF!</f>
        <v>#REF!</v>
      </c>
      <c r="AR33" s="7">
        <f t="shared" si="8"/>
        <v>291390</v>
      </c>
      <c r="AS33" s="13">
        <f>IF((TEXT(_xll.BDP(AI33,"MATURITY"),"DD/MM/YYYY")="#N/A Field Not Applicable"),"Perp",_xll.BDP(AI33,"DS252"))</f>
        <v>28.008213552361397</v>
      </c>
      <c r="AT33" s="5" t="str">
        <f>(IF(_xll.BDP($AI33&amp;" ISIN","DT247")="Y","Yes","No"))</f>
        <v>No</v>
      </c>
      <c r="AU33" s="5" t="str">
        <f>PROPER(IF(OR(_xll.BDP($AI33,"CPN_TYP")="#n/a N/A",_xll.BDP($AI33,"CPN_TYP")= "#N/A FIELD NOT APPLICABLE"), " ", _xll.BDP($AI33,"CPN_TYP")))</f>
        <v>Fixed</v>
      </c>
      <c r="BG33" s="27" t="str">
        <f t="shared" si="9"/>
        <v>XS2608638602</v>
      </c>
      <c r="BH33" s="27">
        <v>0.55200000000000005</v>
      </c>
      <c r="BI33" s="28">
        <v>4</v>
      </c>
      <c r="BJ33" s="36">
        <v>45447</v>
      </c>
      <c r="BK33" s="30"/>
    </row>
    <row r="34" spans="1:63" s="15" customFormat="1" ht="14.45" customHeight="1" x14ac:dyDescent="0.25">
      <c r="A34" s="16" t="s">
        <v>138</v>
      </c>
      <c r="B34" s="16" t="s">
        <v>72</v>
      </c>
      <c r="C34" s="16" t="s">
        <v>73</v>
      </c>
      <c r="D34" s="16" t="s">
        <v>53</v>
      </c>
      <c r="E34" s="11" t="str">
        <f>_xll.BDP(AI34,"ds520")</f>
        <v>Saudi Electricity Sukuk Programme Co</v>
      </c>
      <c r="F34" s="11" t="str">
        <f>_xll.BDP(AI34,"crncy")</f>
        <v>USD</v>
      </c>
      <c r="G34" s="34" t="s">
        <v>56</v>
      </c>
      <c r="H34" s="11" t="str">
        <f>IF(_xll.BDP(AI34,"RTG_MOODY")="#N/A N/A","N/A",_xll.BDP(AI34,"RTG_MOODY"))&amp;","&amp;IF(_xll.BDP(AI34,"RTG_FITCH")="#N/A N/A","N/A",_xll.BDP(AI34,"RTG_FITCH"))&amp;","&amp;IF(_xll.BDP(AI34,"RTG_SP")="#N/A N/A","N/A",_xll.BDP(AI34,"RTG_SP"))</f>
        <v>Aa3,A+,N/A</v>
      </c>
      <c r="I34" s="5">
        <f>_xll.BDP(AI34,"cpn")/100</f>
        <v>5.6840000000000002E-2</v>
      </c>
      <c r="J34" s="5">
        <f ca="1">_xll.BDP($G34&amp;" isin","YAS_BOND_YLD", "YAS_YLD_FLAG=15", "user_local_trade_date",AN34,"Yas_bond_px",$Q34)/100</f>
        <v>5.8945449999999996E-2</v>
      </c>
      <c r="K34" s="11" t="str">
        <f>_xll.BDP(AI34,"PAYMENT_RANK")</f>
        <v>Sr Unsecured</v>
      </c>
      <c r="L34" s="11" t="str">
        <f>IF((TEXT(_xll.BDP(AI34,"MATURITY"),"DD/MM/YYYY")="#N/A Field Not Applicable"),"Perp",TEXT(_xll.BDP(AI34,"MATURITY"),"DD/MM/YYYY"))</f>
        <v>11/04/2053</v>
      </c>
      <c r="M34" s="6">
        <f>(IF(_xll.BDP($AI34&amp;" ISIN","DU003")="#n/a n/a"," ",_xll.BDP($AI34&amp;" ISIN","DU003")))</f>
        <v>13.76468834594753</v>
      </c>
      <c r="N34" s="11" t="str">
        <f>IF(_xll.BDP(AI34,"CALLABLE")="Y",_xll.BDP(AI34,"NXT_CALL_DT")," ")</f>
        <v xml:space="preserve"> </v>
      </c>
      <c r="O34" s="35">
        <v>300000</v>
      </c>
      <c r="P34" s="34">
        <v>97.293000000000006</v>
      </c>
      <c r="Q34" s="13">
        <f>_xll.BDP(AI34,"px_bid")</f>
        <v>97.13</v>
      </c>
      <c r="R34" s="7">
        <f>IF(F34="USD",AG34,(((_xll.BDP(F34&amp;"USD CURNCY","PX_LAST")))*AG34))</f>
        <v>291879.00000000006</v>
      </c>
      <c r="S34" s="7">
        <f>IF(F34="USD",AH34,(((_xll.BDP(F34&amp;"USD CURNCY","PX_LAST")))*AH34))+AP34</f>
        <v>299868.63333333336</v>
      </c>
      <c r="T34" s="8">
        <f t="shared" si="0"/>
        <v>-489.0000000000328</v>
      </c>
      <c r="U34" s="9">
        <f t="shared" si="1"/>
        <v>-1.6753517724811743E-3</v>
      </c>
      <c r="V34" s="9" cm="1">
        <f t="array" ref="V34">IFERROR(_xll.BDP($G34&amp;" ISIN","CHG_PCT_1D")/100,"")</f>
        <v>-1.033472294069317E-2</v>
      </c>
      <c r="W34" s="9" cm="1">
        <f t="array" ref="W34">IFERROR(_xll.BDP($G34&amp;" ISIN","CHG_PCT_5D")/100,"")</f>
        <v>-1.4991356324178468E-2</v>
      </c>
      <c r="X34" s="9" cm="1">
        <f t="array" ref="X34">_xll.BDP($G34&amp;" ISIN","CHG_PCT_1M")/100</f>
        <v>-1.3906858822385593E-2</v>
      </c>
      <c r="Y34" s="9" cm="1">
        <f t="array" ref="Y34">_xll.BDP($G34&amp;" ISIN","CHG_PCT_3M")/100</f>
        <v>1.5603765713372139E-2</v>
      </c>
      <c r="Z34" s="9" cm="1">
        <f t="array" ref="Z34">_xll.BDP($G34&amp;" ISIN","CHG_PCT_6M")/100</f>
        <v>-2.5519923535809591E-2</v>
      </c>
      <c r="AA34" s="9" cm="1">
        <f t="array" ref="AA34">_xll.BDP($G34&amp;" ISIN","CHG_PCT_YTD")/100</f>
        <v>5.3662405877754234E-3</v>
      </c>
      <c r="AB34" s="9" t="e">
        <f t="shared" si="2"/>
        <v>#VALUE!</v>
      </c>
      <c r="AC34" s="12">
        <f t="shared" ca="1" si="3"/>
        <v>14099.9333333333</v>
      </c>
      <c r="AD34" s="11" t="str">
        <f>_xll.BDP(AI34,"DS199")</f>
        <v>Utilities</v>
      </c>
      <c r="AE34" s="13">
        <f>_xll.BDP(AI34,"px_ask")</f>
        <v>98.013999999999996</v>
      </c>
      <c r="AF34" s="12">
        <f>IF(F34="USD",O34,(((_xll.BDP(F34&amp;"USD CURNCY","PX_LAST")))*O34))</f>
        <v>300000</v>
      </c>
      <c r="AG34" s="7">
        <f t="shared" si="4"/>
        <v>291879.00000000006</v>
      </c>
      <c r="AH34" s="7">
        <f t="shared" si="5"/>
        <v>291390</v>
      </c>
      <c r="AI34" s="11" t="str">
        <f t="shared" si="6"/>
        <v>XS2608638602 ISIN</v>
      </c>
      <c r="AJ34" s="11" t="e" cm="1">
        <f t="array" ref="AJ34">VLOOKUP(IF(NOT(_xll.BDP($G34&amp;" CORP",$CA$4)="#N/A N/A"),(_xll.BDP($G34&amp;" CORP",$CA$4)),"-"), '[1]Country Codes'!$A$2:$B$253,2,0)</f>
        <v>#N/A</v>
      </c>
      <c r="AK34" s="11" t="str" cm="1">
        <f t="array" ref="AK34">IF(OR(_xll.BDP($AI34,"EX028")= "#N/A N/A", _xll.BDP($AI34,"EX028")="#N/A FIELD NOT APPLICABLE"), " ", _xll.BDP($AI34,"EX028"))</f>
        <v>FixedIncome</v>
      </c>
      <c r="AL34" s="5" t="str">
        <f>(IF(_xll.BDP($AI34&amp;" ISIN","DZ282")="Y","Single line Bonds Cocos","Single line Bonds ex Cocos"))</f>
        <v>Single line Bonds ex Cocos</v>
      </c>
      <c r="AM34" s="6">
        <f>(IF(_xll.BDP($G34&amp;" ISIN","SP153")="#n/a n/a"," ",_xll.BDP($G34&amp;" ISIN","SP153")))</f>
        <v>206.26697693540407</v>
      </c>
      <c r="AN34" s="14">
        <f t="shared" ca="1" si="7"/>
        <v>45755</v>
      </c>
      <c r="AO34" s="7">
        <f>(((_xll.BDP(AI34,"DS032"))/360)*I34)*O34</f>
        <v>8478.6333333333332</v>
      </c>
      <c r="AP34" s="7">
        <f>IF(F34="USD",AO34,(((_xll.BDP(F34&amp;"USD CURNCY","PX_LAST")))*AO34))</f>
        <v>8478.6333333333332</v>
      </c>
      <c r="AQ34" s="9" t="e">
        <f>S34/$S$139</f>
        <v>#DIV/0!</v>
      </c>
      <c r="AR34" s="7">
        <f t="shared" si="8"/>
        <v>291390</v>
      </c>
      <c r="AS34" s="13">
        <f>IF((TEXT(_xll.BDP(AI34,"MATURITY"),"DD/MM/YYYY")="#N/A Field Not Applicable"),"Perp",_xll.BDP(AI34,"DS252"))</f>
        <v>28.008213552361397</v>
      </c>
      <c r="AT34" s="5" t="str">
        <f>(IF(_xll.BDP($AI34&amp;" ISIN","DT247")="Y","Yes","No"))</f>
        <v>No</v>
      </c>
      <c r="AU34" s="5" t="str">
        <f>PROPER(IF(OR(_xll.BDP($AI34,"CPN_TYP")="#n/a N/A",_xll.BDP($AI34,"CPN_TYP")= "#N/A FIELD NOT APPLICABLE"), " ", _xll.BDP($AI34,"CPN_TYP")))</f>
        <v>Fixed</v>
      </c>
      <c r="BG34" s="27" t="str">
        <f t="shared" si="9"/>
        <v>XS2608638602</v>
      </c>
      <c r="BH34" s="27">
        <f>VLOOKUP(BG34,'[2]Portefeuille 4380430'!$B$3:$G$38,6,0)</f>
        <v>0.48</v>
      </c>
      <c r="BI34" s="28">
        <v>3</v>
      </c>
      <c r="BJ34" s="36">
        <v>45447</v>
      </c>
      <c r="BK34" s="30"/>
    </row>
    <row r="35" spans="1:63" s="15" customFormat="1" ht="14.45" customHeight="1" x14ac:dyDescent="0.25">
      <c r="A35" s="16" t="s">
        <v>138</v>
      </c>
      <c r="B35" s="16" t="s">
        <v>76</v>
      </c>
      <c r="C35" s="16" t="s">
        <v>77</v>
      </c>
      <c r="D35" s="16" t="s">
        <v>53</v>
      </c>
      <c r="E35" s="11" t="str">
        <f>_xll.BDP(AI35,"ds520")</f>
        <v>Saudi Electricity Sukuk Programme Co</v>
      </c>
      <c r="F35" s="11" t="str">
        <f>_xll.BDP(AI35,"crncy")</f>
        <v>USD</v>
      </c>
      <c r="G35" s="34" t="s">
        <v>56</v>
      </c>
      <c r="H35" s="11" t="str">
        <f>IF(_xll.BDP(AI35,"RTG_MOODY")="#N/A N/A","N/A",_xll.BDP(AI35,"RTG_MOODY"))&amp;","&amp;IF(_xll.BDP(AI35,"RTG_FITCH")="#N/A N/A","N/A",_xll.BDP(AI35,"RTG_FITCH"))&amp;","&amp;IF(_xll.BDP(AI35,"RTG_SP")="#N/A N/A","N/A",_xll.BDP(AI35,"RTG_SP"))</f>
        <v>Aa3,A+,N/A</v>
      </c>
      <c r="I35" s="5">
        <f>_xll.BDP(AI35,"cpn")/100</f>
        <v>5.6840000000000002E-2</v>
      </c>
      <c r="J35" s="5">
        <f ca="1">_xll.BDP($G35&amp;" isin","YAS_BOND_YLD", "YAS_YLD_FLAG=15", "user_local_trade_date",AN35,"Yas_bond_px",$Q35)/100</f>
        <v>5.8945449999999996E-2</v>
      </c>
      <c r="K35" s="11" t="str">
        <f>_xll.BDP(AI35,"PAYMENT_RANK")</f>
        <v>Sr Unsecured</v>
      </c>
      <c r="L35" s="11" t="str">
        <f>IF((TEXT(_xll.BDP(AI35,"MATURITY"),"DD/MM/YYYY")="#N/A Field Not Applicable"),"Perp",TEXT(_xll.BDP(AI35,"MATURITY"),"DD/MM/YYYY"))</f>
        <v>11/04/2053</v>
      </c>
      <c r="M35" s="6">
        <f>(IF(_xll.BDP($AI35&amp;" ISIN","DU003")="#n/a n/a"," ",_xll.BDP($AI35&amp;" ISIN","DU003")))</f>
        <v>13.76468834594753</v>
      </c>
      <c r="N35" s="11" t="str">
        <f>IF(_xll.BDP(AI35,"CALLABLE")="Y",_xll.BDP(AI35,"NXT_CALL_DT")," ")</f>
        <v xml:space="preserve"> </v>
      </c>
      <c r="O35" s="35">
        <v>300000</v>
      </c>
      <c r="P35" s="34">
        <v>97.554000000000002</v>
      </c>
      <c r="Q35" s="13">
        <f>_xll.BDP(AI35,"px_bid")</f>
        <v>97.13</v>
      </c>
      <c r="R35" s="7">
        <f>IF(F35="USD",AG35,(((_xll.BDP(F35&amp;"USD CURNCY","PX_LAST")))*AG35))</f>
        <v>292662</v>
      </c>
      <c r="S35" s="7">
        <f>IF(F35="USD",AH35,(((_xll.BDP(F35&amp;"USD CURNCY","PX_LAST")))*AH35))+AP35</f>
        <v>299868.63333333336</v>
      </c>
      <c r="T35" s="8">
        <f t="shared" si="0"/>
        <v>-1272.0000000000198</v>
      </c>
      <c r="U35" s="9">
        <f t="shared" si="1"/>
        <v>-4.3463107612194945E-3</v>
      </c>
      <c r="V35" s="9" cm="1">
        <f t="array" ref="V35">IFERROR(_xll.BDP($G35&amp;" ISIN","CHG_PCT_1D")/100,"")</f>
        <v>-1.033472294069317E-2</v>
      </c>
      <c r="W35" s="9" cm="1">
        <f t="array" ref="W35">IFERROR(_xll.BDP($G35&amp;" ISIN","CHG_PCT_5D")/100,"")</f>
        <v>-1.4991356324178468E-2</v>
      </c>
      <c r="X35" s="9" cm="1">
        <f t="array" ref="X35">_xll.BDP($G35&amp;" ISIN","CHG_PCT_1M")/100</f>
        <v>-1.3906858822385593E-2</v>
      </c>
      <c r="Y35" s="9" cm="1">
        <f t="array" ref="Y35">_xll.BDP($G35&amp;" ISIN","CHG_PCT_3M")/100</f>
        <v>1.5603765713372139E-2</v>
      </c>
      <c r="Z35" s="9" cm="1">
        <f t="array" ref="Z35">_xll.BDP($G35&amp;" ISIN","CHG_PCT_6M")/100</f>
        <v>-2.5519923535809591E-2</v>
      </c>
      <c r="AA35" s="9" cm="1">
        <f t="array" ref="AA35">_xll.BDP($G35&amp;" ISIN","CHG_PCT_YTD")/100</f>
        <v>5.3662405877754234E-3</v>
      </c>
      <c r="AB35" s="9" t="e">
        <f t="shared" si="2"/>
        <v>#VALUE!</v>
      </c>
      <c r="AC35" s="12">
        <f t="shared" ca="1" si="3"/>
        <v>14169.533333333313</v>
      </c>
      <c r="AD35" s="11" t="str">
        <f>_xll.BDP(AI35,"DS199")</f>
        <v>Utilities</v>
      </c>
      <c r="AE35" s="13">
        <f>_xll.BDP(AI35,"px_ask")</f>
        <v>98.013999999999996</v>
      </c>
      <c r="AF35" s="12">
        <f>IF(F35="USD",O35,(((_xll.BDP(F35&amp;"USD CURNCY","PX_LAST")))*O35))</f>
        <v>300000</v>
      </c>
      <c r="AG35" s="7">
        <f t="shared" si="4"/>
        <v>292662</v>
      </c>
      <c r="AH35" s="7">
        <f t="shared" si="5"/>
        <v>291390</v>
      </c>
      <c r="AI35" s="11" t="str">
        <f t="shared" si="6"/>
        <v>XS2608638602 ISIN</v>
      </c>
      <c r="AJ35" s="11" t="e" cm="1">
        <f t="array" ref="AJ35">VLOOKUP(IF(NOT(_xll.BDP($G35&amp;" CORP",$CA$4)="#N/A N/A"),(_xll.BDP($G35&amp;" CORP",$CA$4)),"-"), '[1]Country Codes'!$A$2:$B$253,2,0)</f>
        <v>#N/A</v>
      </c>
      <c r="AK35" s="11" t="str" cm="1">
        <f t="array" ref="AK35">IF(OR(_xll.BDP($AI35,"EX028")= "#N/A N/A", _xll.BDP($AI35,"EX028")="#N/A FIELD NOT APPLICABLE"), " ", _xll.BDP($AI35,"EX028"))</f>
        <v>FixedIncome</v>
      </c>
      <c r="AL35" s="5" t="str">
        <f>(IF(_xll.BDP($AI35&amp;" ISIN","DZ282")="Y","Single line Bonds Cocos","Single line Bonds ex Cocos"))</f>
        <v>Single line Bonds ex Cocos</v>
      </c>
      <c r="AM35" s="6">
        <f>(IF(_xll.BDP($G35&amp;" ISIN","SP153")="#n/a n/a"," ",_xll.BDP($G35&amp;" ISIN","SP153")))</f>
        <v>206.26697693540407</v>
      </c>
      <c r="AN35" s="14">
        <f t="shared" ca="1" si="7"/>
        <v>45755</v>
      </c>
      <c r="AO35" s="7">
        <f>(((_xll.BDP(AI35,"DS032"))/360)*I35)*O35</f>
        <v>8478.6333333333332</v>
      </c>
      <c r="AP35" s="7">
        <f>IF(F35="USD",AO35,(((_xll.BDP(F35&amp;"USD CURNCY","PX_LAST")))*AO35))</f>
        <v>8478.6333333333332</v>
      </c>
      <c r="AQ35" s="9" t="e">
        <f>S35/$S$140</f>
        <v>#DIV/0!</v>
      </c>
      <c r="AR35" s="7">
        <f t="shared" si="8"/>
        <v>291390</v>
      </c>
      <c r="AS35" s="13">
        <f>IF((TEXT(_xll.BDP(AI35,"MATURITY"),"DD/MM/YYYY")="#N/A Field Not Applicable"),"Perp",_xll.BDP(AI35,"DS252"))</f>
        <v>28.008213552361397</v>
      </c>
      <c r="AT35" s="5" t="str">
        <f>(IF(_xll.BDP($AI35&amp;" ISIN","DT247")="Y","Yes","No"))</f>
        <v>No</v>
      </c>
      <c r="AU35" s="5" t="str">
        <f>PROPER(IF(OR(_xll.BDP($AI35,"CPN_TYP")="#n/a N/A",_xll.BDP($AI35,"CPN_TYP")= "#N/A FIELD NOT APPLICABLE"), " ", _xll.BDP($AI35,"CPN_TYP")))</f>
        <v>Fixed</v>
      </c>
      <c r="BG35" s="27" t="str">
        <f t="shared" si="9"/>
        <v>XS2608638602</v>
      </c>
      <c r="BH35" s="27">
        <v>0.59</v>
      </c>
      <c r="BI35" s="28">
        <v>3</v>
      </c>
      <c r="BJ35" s="36">
        <v>45429</v>
      </c>
      <c r="BK35" s="30"/>
    </row>
    <row r="36" spans="1:63" s="15" customFormat="1" ht="14.45" customHeight="1" x14ac:dyDescent="0.25">
      <c r="A36" s="16" t="s">
        <v>138</v>
      </c>
      <c r="B36" s="16" t="s">
        <v>61</v>
      </c>
      <c r="C36" s="16" t="s">
        <v>62</v>
      </c>
      <c r="D36" s="16" t="s">
        <v>53</v>
      </c>
      <c r="E36" s="11" t="str">
        <f>_xll.BDP(AI36,"ds520")</f>
        <v>Saudi Government International Bond</v>
      </c>
      <c r="F36" s="11" t="str">
        <f>_xll.BDP(AI36,"crncy")</f>
        <v>USD</v>
      </c>
      <c r="G36" s="34" t="s">
        <v>63</v>
      </c>
      <c r="H36" s="11" t="str">
        <f>IF(_xll.BDP(AI36,"RTG_MOODY")="#N/A N/A","N/A",_xll.BDP(AI36,"RTG_MOODY"))&amp;","&amp;IF(_xll.BDP(AI36,"RTG_FITCH")="#N/A N/A","N/A",_xll.BDP(AI36,"RTG_FITCH"))&amp;","&amp;IF(_xll.BDP(AI36,"RTG_SP")="#N/A N/A","N/A",_xll.BDP(AI36,"RTG_SP"))</f>
        <v>Aa3,A+,N/A</v>
      </c>
      <c r="I36" s="5">
        <f>_xll.BDP(AI36,"cpn")/100</f>
        <v>0.05</v>
      </c>
      <c r="J36" s="5">
        <f ca="1">_xll.BDP($G36&amp;" isin","YAS_BOND_YLD", "YAS_YLD_FLAG=15", "user_local_trade_date",AN36,"Yas_bond_px",$Q36)/100</f>
        <v>6.2657060000000001E-2</v>
      </c>
      <c r="K36" s="11" t="str">
        <f>_xll.BDP(AI36,"PAYMENT_RANK")</f>
        <v>Sr Unsecured</v>
      </c>
      <c r="L36" s="11" t="str">
        <f>IF((TEXT(_xll.BDP(AI36,"MATURITY"),"DD/MM/YYYY")="#N/A Field Not Applicable"),"Perp",TEXT(_xll.BDP(AI36,"MATURITY"),"DD/MM/YYYY"))</f>
        <v>18/01/2053</v>
      </c>
      <c r="M36" s="6">
        <f>(IF(_xll.BDP($AI36&amp;" ISIN","DU003")="#n/a n/a"," ",_xll.BDP($AI36&amp;" ISIN","DU003")))</f>
        <v>13.95597749125608</v>
      </c>
      <c r="N36" s="11" t="str">
        <f>IF(_xll.BDP(AI36,"CALLABLE")="Y",_xll.BDP(AI36,"NXT_CALL_DT")," ")</f>
        <v xml:space="preserve"> </v>
      </c>
      <c r="O36" s="35">
        <v>200000</v>
      </c>
      <c r="P36" s="34">
        <v>84.632999999999996</v>
      </c>
      <c r="Q36" s="13">
        <f>_xll.BDP(AI36,"px_bid")</f>
        <v>83.430999999999997</v>
      </c>
      <c r="R36" s="7">
        <f>IF(F36="USD",AG36,(((_xll.BDP(F36&amp;"USD CURNCY","PX_LAST")))*AG36))</f>
        <v>169266</v>
      </c>
      <c r="S36" s="7">
        <f>IF(F36="USD",AH36,(((_xll.BDP(F36&amp;"USD CURNCY","PX_LAST")))*AH36))+AP36</f>
        <v>169139.77777777778</v>
      </c>
      <c r="T36" s="8">
        <f t="shared" si="0"/>
        <v>-2403.9999999999964</v>
      </c>
      <c r="U36" s="9">
        <f t="shared" si="1"/>
        <v>-1.4202497843630714E-2</v>
      </c>
      <c r="V36" s="9" cm="1">
        <f t="array" ref="V36">IFERROR(_xll.BDP($G36&amp;" ISIN","CHG_PCT_1D")/100,"")</f>
        <v>-4.1259423081497276E-3</v>
      </c>
      <c r="W36" s="9" cm="1">
        <f t="array" ref="W36">IFERROR(_xll.BDP($G36&amp;" ISIN","CHG_PCT_5D")/100,"")</f>
        <v>-3.4112532146275631E-2</v>
      </c>
      <c r="X36" s="9" cm="1">
        <f t="array" ref="X36">_xll.BDP($G36&amp;" ISIN","CHG_PCT_1M")/100</f>
        <v>-3.3254074518675847E-2</v>
      </c>
      <c r="Y36" s="9" cm="1">
        <f t="array" ref="Y36">_xll.BDP($G36&amp;" ISIN","CHG_PCT_3M")/100</f>
        <v>8.6346010260362586E-3</v>
      </c>
      <c r="Z36" s="9" cm="1">
        <f t="array" ref="Z36">_xll.BDP($G36&amp;" ISIN","CHG_PCT_6M")/100</f>
        <v>-7.4745086775444433E-2</v>
      </c>
      <c r="AA36" s="9" cm="1">
        <f t="array" ref="AA36">_xll.BDP($G36&amp;" ISIN","CHG_PCT_YTD")/100</f>
        <v>-1.0888434876058567E-2</v>
      </c>
      <c r="AB36" s="9" t="e">
        <f t="shared" si="2"/>
        <v>#VALUE!</v>
      </c>
      <c r="AC36" s="12">
        <f t="shared" ca="1" si="3"/>
        <v>11762.666666666672</v>
      </c>
      <c r="AD36" s="11" t="str">
        <f>_xll.BDP(AI36,"DS199")</f>
        <v>Government</v>
      </c>
      <c r="AE36" s="13">
        <f>_xll.BDP(AI36,"px_ask")</f>
        <v>84.08</v>
      </c>
      <c r="AF36" s="12">
        <f>IF(F36="USD",O36,(((_xll.BDP(F36&amp;"USD CURNCY","PX_LAST")))*O36))</f>
        <v>200000</v>
      </c>
      <c r="AG36" s="7">
        <f t="shared" si="4"/>
        <v>169266</v>
      </c>
      <c r="AH36" s="7">
        <f t="shared" si="5"/>
        <v>166862</v>
      </c>
      <c r="AI36" s="11" t="str">
        <f t="shared" si="6"/>
        <v>XS2577136109 ISIN</v>
      </c>
      <c r="AJ36" s="11" t="e" cm="1">
        <f t="array" ref="AJ36">VLOOKUP(IF(NOT(_xll.BDP($G36&amp;" CORP",$CA$4)="#N/A N/A"),(_xll.BDP($G36&amp;" CORP",$CA$4)),"-"), '[1]Country Codes'!$A$2:$B$253,2,0)</f>
        <v>#N/A</v>
      </c>
      <c r="AK36" s="11" t="str" cm="1">
        <f t="array" ref="AK36">IF(OR(_xll.BDP($AI36,"EX028")= "#N/A N/A", _xll.BDP($AI36,"EX028")="#N/A FIELD NOT APPLICABLE"), " ", _xll.BDP($AI36,"EX028"))</f>
        <v>FixedIncome</v>
      </c>
      <c r="AL36" s="5" t="str">
        <f>(IF(_xll.BDP($AI36&amp;" ISIN","DZ282")="Y","Single line Bonds Cocos","Single line Bonds ex Cocos"))</f>
        <v>Single line Bonds ex Cocos</v>
      </c>
      <c r="AM36" s="6">
        <f>(IF(_xll.BDP($G36&amp;" ISIN","SP153")="#n/a n/a"," ",_xll.BDP($G36&amp;" ISIN","SP153")))</f>
        <v>243.77002143871462</v>
      </c>
      <c r="AN36" s="14">
        <f t="shared" ca="1" si="7"/>
        <v>45755</v>
      </c>
      <c r="AO36" s="7">
        <f>(((_xll.BDP(AI36,"DS032"))/360)*I36)*O36</f>
        <v>2277.7777777777778</v>
      </c>
      <c r="AP36" s="7">
        <f>IF(F36="USD",AO36,(((_xll.BDP(F36&amp;"USD CURNCY","PX_LAST")))*AO36))</f>
        <v>2277.7777777777778</v>
      </c>
      <c r="AQ36" s="9" t="e">
        <f>S36/#REF!</f>
        <v>#REF!</v>
      </c>
      <c r="AR36" s="7">
        <f t="shared" si="8"/>
        <v>166862</v>
      </c>
      <c r="AS36" s="13">
        <f>IF((TEXT(_xll.BDP(AI36,"MATURITY"),"DD/MM/YYYY")="#N/A Field Not Applicable"),"Perp",_xll.BDP(AI36,"DS252"))</f>
        <v>27.780971937029431</v>
      </c>
      <c r="AT36" s="5" t="str">
        <f>(IF(_xll.BDP($AI36&amp;" ISIN","DT247")="Y","Yes","No"))</f>
        <v>No</v>
      </c>
      <c r="AU36" s="5" t="str">
        <f>PROPER(IF(OR(_xll.BDP($AI36,"CPN_TYP")="#n/a N/A",_xll.BDP($AI36,"CPN_TYP")= "#N/A FIELD NOT APPLICABLE"), " ", _xll.BDP($AI36,"CPN_TYP")))</f>
        <v>Fixed</v>
      </c>
      <c r="BG36" s="27" t="str">
        <f t="shared" si="9"/>
        <v>XS2577136109</v>
      </c>
      <c r="BH36" s="27">
        <v>0.68559999999999999</v>
      </c>
      <c r="BI36" s="28">
        <v>3</v>
      </c>
      <c r="BJ36" s="36">
        <v>45245</v>
      </c>
      <c r="BK36" s="30"/>
    </row>
    <row r="37" spans="1:63" s="15" customFormat="1" ht="14.45" customHeight="1" x14ac:dyDescent="0.25">
      <c r="A37" s="16" t="s">
        <v>138</v>
      </c>
      <c r="B37" s="16" t="s">
        <v>72</v>
      </c>
      <c r="C37" s="16" t="s">
        <v>73</v>
      </c>
      <c r="D37" s="16" t="s">
        <v>53</v>
      </c>
      <c r="E37" s="11" t="str">
        <f>_xll.BDP(AI37,"ds520")</f>
        <v>Saudi Government International Bond</v>
      </c>
      <c r="F37" s="11" t="str">
        <f>_xll.BDP(AI37,"crncy")</f>
        <v>USD</v>
      </c>
      <c r="G37" s="34" t="s">
        <v>63</v>
      </c>
      <c r="H37" s="11" t="str">
        <f>IF(_xll.BDP(AI37,"RTG_MOODY")="#N/A N/A","N/A",_xll.BDP(AI37,"RTG_MOODY"))&amp;","&amp;IF(_xll.BDP(AI37,"RTG_FITCH")="#N/A N/A","N/A",_xll.BDP(AI37,"RTG_FITCH"))&amp;","&amp;IF(_xll.BDP(AI37,"RTG_SP")="#N/A N/A","N/A",_xll.BDP(AI37,"RTG_SP"))</f>
        <v>Aa3,A+,N/A</v>
      </c>
      <c r="I37" s="5">
        <f>_xll.BDP(AI37,"cpn")/100</f>
        <v>0.05</v>
      </c>
      <c r="J37" s="5">
        <f ca="1">_xll.BDP($G37&amp;" isin","YAS_BOND_YLD", "YAS_YLD_FLAG=15", "user_local_trade_date",AN37,"Yas_bond_px",$Q37)/100</f>
        <v>6.2657060000000001E-2</v>
      </c>
      <c r="K37" s="11" t="str">
        <f>_xll.BDP(AI37,"PAYMENT_RANK")</f>
        <v>Sr Unsecured</v>
      </c>
      <c r="L37" s="11" t="str">
        <f>IF((TEXT(_xll.BDP(AI37,"MATURITY"),"DD/MM/YYYY")="#N/A Field Not Applicable"),"Perp",TEXT(_xll.BDP(AI37,"MATURITY"),"DD/MM/YYYY"))</f>
        <v>18/01/2053</v>
      </c>
      <c r="M37" s="6">
        <f>(IF(_xll.BDP($AI37&amp;" ISIN","DU003")="#n/a n/a"," ",_xll.BDP($AI37&amp;" ISIN","DU003")))</f>
        <v>13.95597749125608</v>
      </c>
      <c r="N37" s="11" t="str">
        <f>IF(_xll.BDP(AI37,"CALLABLE")="Y",_xll.BDP(AI37,"NXT_CALL_DT")," ")</f>
        <v xml:space="preserve"> </v>
      </c>
      <c r="O37" s="35">
        <v>270000</v>
      </c>
      <c r="P37" s="34">
        <v>83.754999999999995</v>
      </c>
      <c r="Q37" s="13">
        <f>_xll.BDP(AI37,"px_bid")</f>
        <v>83.430999999999997</v>
      </c>
      <c r="R37" s="7">
        <f>IF(F37="USD",AG37,(((_xll.BDP(F37&amp;"USD CURNCY","PX_LAST")))*AG37))</f>
        <v>226138.5</v>
      </c>
      <c r="S37" s="7">
        <f>IF(F37="USD",AH37,(((_xll.BDP(F37&amp;"USD CURNCY","PX_LAST")))*AH37))+AP37</f>
        <v>228338.7</v>
      </c>
      <c r="T37" s="8">
        <f t="shared" si="0"/>
        <v>-874.79999999999484</v>
      </c>
      <c r="U37" s="9">
        <f t="shared" si="1"/>
        <v>-3.8684257656259099E-3</v>
      </c>
      <c r="V37" s="9" cm="1">
        <f t="array" ref="V37">IFERROR(_xll.BDP($G37&amp;" ISIN","CHG_PCT_1D")/100,"")</f>
        <v>-4.1259423081497276E-3</v>
      </c>
      <c r="W37" s="9" cm="1">
        <f t="array" ref="W37">IFERROR(_xll.BDP($G37&amp;" ISIN","CHG_PCT_5D")/100,"")</f>
        <v>-3.4112532146275631E-2</v>
      </c>
      <c r="X37" s="9" cm="1">
        <f t="array" ref="X37">_xll.BDP($G37&amp;" ISIN","CHG_PCT_1M")/100</f>
        <v>-3.3254074518675847E-2</v>
      </c>
      <c r="Y37" s="9" cm="1">
        <f t="array" ref="Y37">_xll.BDP($G37&amp;" ISIN","CHG_PCT_3M")/100</f>
        <v>8.6346010260362586E-3</v>
      </c>
      <c r="Z37" s="9" cm="1">
        <f t="array" ref="Z37">_xll.BDP($G37&amp;" ISIN","CHG_PCT_6M")/100</f>
        <v>-7.4745086775444433E-2</v>
      </c>
      <c r="AA37" s="9" cm="1">
        <f t="array" ref="AA37">_xll.BDP($G37&amp;" ISIN","CHG_PCT_YTD")/100</f>
        <v>-1.0888434876058567E-2</v>
      </c>
      <c r="AB37" s="9" t="e">
        <f t="shared" si="2"/>
        <v>#VALUE!</v>
      </c>
      <c r="AC37" s="12">
        <f t="shared" ca="1" si="3"/>
        <v>18287.700000000004</v>
      </c>
      <c r="AD37" s="11" t="str">
        <f>_xll.BDP(AI37,"DS199")</f>
        <v>Government</v>
      </c>
      <c r="AE37" s="13">
        <f>_xll.BDP(AI37,"px_ask")</f>
        <v>84.08</v>
      </c>
      <c r="AF37" s="12">
        <f>IF(F37="USD",O37,(((_xll.BDP(F37&amp;"USD CURNCY","PX_LAST")))*O37))</f>
        <v>270000</v>
      </c>
      <c r="AG37" s="7">
        <f t="shared" si="4"/>
        <v>226138.5</v>
      </c>
      <c r="AH37" s="7">
        <f t="shared" si="5"/>
        <v>225263.7</v>
      </c>
      <c r="AI37" s="11" t="str">
        <f t="shared" si="6"/>
        <v>XS2577136109 ISIN</v>
      </c>
      <c r="AJ37" s="11" t="e" cm="1">
        <f t="array" ref="AJ37">VLOOKUP(IF(NOT(_xll.BDP($G37&amp;" CORP",$CA$4)="#N/A N/A"),(_xll.BDP($G37&amp;" CORP",$CA$4)),"-"), '[1]Country Codes'!$A$2:$B$253,2,0)</f>
        <v>#N/A</v>
      </c>
      <c r="AK37" s="11" t="str" cm="1">
        <f t="array" ref="AK37">IF(OR(_xll.BDP($AI37,"EX028")= "#N/A N/A", _xll.BDP($AI37,"EX028")="#N/A FIELD NOT APPLICABLE"), " ", _xll.BDP($AI37,"EX028"))</f>
        <v>FixedIncome</v>
      </c>
      <c r="AL37" s="5" t="str">
        <f>(IF(_xll.BDP($AI37&amp;" ISIN","DZ282")="Y","Single line Bonds Cocos","Single line Bonds ex Cocos"))</f>
        <v>Single line Bonds ex Cocos</v>
      </c>
      <c r="AM37" s="6">
        <f>(IF(_xll.BDP($G37&amp;" ISIN","SP153")="#n/a n/a"," ",_xll.BDP($G37&amp;" ISIN","SP153")))</f>
        <v>243.77002143871462</v>
      </c>
      <c r="AN37" s="14">
        <f t="shared" ca="1" si="7"/>
        <v>45755</v>
      </c>
      <c r="AO37" s="7">
        <f>(((_xll.BDP(AI37,"DS032"))/360)*I37)*O37</f>
        <v>3075</v>
      </c>
      <c r="AP37" s="7">
        <f>IF(F37="USD",AO37,(((_xll.BDP(F37&amp;"USD CURNCY","PX_LAST")))*AO37))</f>
        <v>3075</v>
      </c>
      <c r="AQ37" s="9" t="e">
        <f>S37/$S$139</f>
        <v>#DIV/0!</v>
      </c>
      <c r="AR37" s="7">
        <f t="shared" si="8"/>
        <v>225263.7</v>
      </c>
      <c r="AS37" s="13">
        <f>IF((TEXT(_xll.BDP(AI37,"MATURITY"),"DD/MM/YYYY")="#N/A Field Not Applicable"),"Perp",_xll.BDP(AI37,"DS252"))</f>
        <v>27.780971937029431</v>
      </c>
      <c r="AT37" s="5" t="str">
        <f>(IF(_xll.BDP($AI37&amp;" ISIN","DT247")="Y","Yes","No"))</f>
        <v>No</v>
      </c>
      <c r="AU37" s="5" t="str">
        <f>PROPER(IF(OR(_xll.BDP($AI37,"CPN_TYP")="#n/a N/A",_xll.BDP($AI37,"CPN_TYP")= "#N/A FIELD NOT APPLICABLE"), " ", _xll.BDP($AI37,"CPN_TYP")))</f>
        <v>Fixed</v>
      </c>
      <c r="BG37" s="27" t="str">
        <f t="shared" si="9"/>
        <v>XS2577136109</v>
      </c>
      <c r="BH37" s="27">
        <f>VLOOKUP(BG37,'[2]Portefeuille 4380430'!$B$3:$G$38,6,0)</f>
        <v>0.68869999999999998</v>
      </c>
      <c r="BI37" s="28">
        <v>3</v>
      </c>
      <c r="BJ37" s="36">
        <v>45244</v>
      </c>
      <c r="BK37" s="30"/>
    </row>
    <row r="38" spans="1:63" s="15" customFormat="1" ht="14.45" customHeight="1" x14ac:dyDescent="0.25">
      <c r="A38" s="16" t="s">
        <v>137</v>
      </c>
      <c r="B38" s="16" t="s">
        <v>82</v>
      </c>
      <c r="C38" s="16">
        <v>2620061.0010000002</v>
      </c>
      <c r="D38" s="16" t="s">
        <v>49</v>
      </c>
      <c r="E38" s="11" t="str">
        <f>_xll.BDP(AI38,"ds520")</f>
        <v>Saudi Government International Bond</v>
      </c>
      <c r="F38" s="11" t="str">
        <f>_xll.BDP(AI38,"crncy")</f>
        <v>USD</v>
      </c>
      <c r="G38" s="34" t="s">
        <v>84</v>
      </c>
      <c r="H38" s="11" t="str">
        <f>IF(_xll.BDP(AI38,"RTG_MOODY")="#N/A N/A","N/A",_xll.BDP(AI38,"RTG_MOODY"))&amp;","&amp;IF(_xll.BDP(AI38,"RTG_FITCH")="#N/A N/A","N/A",_xll.BDP(AI38,"RTG_FITCH"))&amp;","&amp;IF(_xll.BDP(AI38,"RTG_SP")="#N/A N/A","N/A",_xll.BDP(AI38,"RTG_SP"))</f>
        <v>Aa3,A+,N/A</v>
      </c>
      <c r="I38" s="5">
        <f>_xll.BDP(AI38,"cpn")/100</f>
        <v>5.7500000000000002E-2</v>
      </c>
      <c r="J38" s="5">
        <f ca="1">_xll.BDP($G38&amp;" isin","YAS_BOND_YLD", "YAS_YLD_FLAG=15", "user_local_trade_date",AN38,"Yas_bond_px",$Q38)/100</f>
        <v>6.2900310000000001E-2</v>
      </c>
      <c r="K38" s="11" t="str">
        <f>_xll.BDP(AI38,"PAYMENT_RANK")</f>
        <v>Sr Unsecured</v>
      </c>
      <c r="L38" s="11" t="str">
        <f>IF((TEXT(_xll.BDP(AI38,"MATURITY"),"DD/MM/YYYY")="#N/A Field Not Applicable"),"Perp",TEXT(_xll.BDP(AI38,"MATURITY"),"DD/MM/YYYY"))</f>
        <v>16/01/2054</v>
      </c>
      <c r="M38" s="6">
        <f>(IF(_xll.BDP($AI38&amp;" ISIN","DU003")="#n/a n/a"," ",_xll.BDP($AI38&amp;" ISIN","DU003")))</f>
        <v>13.70485458726578</v>
      </c>
      <c r="N38" s="11" t="str">
        <f>IF(_xll.BDP(AI38,"CALLABLE")="Y",_xll.BDP(AI38,"NXT_CALL_DT")," ")</f>
        <v xml:space="preserve"> </v>
      </c>
      <c r="O38" s="35">
        <v>200000</v>
      </c>
      <c r="P38" s="34">
        <v>98.495000000000005</v>
      </c>
      <c r="Q38" s="13">
        <f>_xll.BDP(AI38,"px_bid")</f>
        <v>92.849000000000004</v>
      </c>
      <c r="R38" s="7">
        <f>IF(F38="USD",AG38,(((_xll.BDP(F38&amp;"USD CURNCY","PX_LAST")))*AG38))</f>
        <v>196990</v>
      </c>
      <c r="S38" s="7">
        <f>IF(F38="USD",AH38,(((_xll.BDP(F38&amp;"USD CURNCY","PX_LAST")))*AH38))+AP38</f>
        <v>188344.57534246575</v>
      </c>
      <c r="T38" s="8">
        <f t="shared" si="0"/>
        <v>-11292</v>
      </c>
      <c r="U38" s="9">
        <f t="shared" si="1"/>
        <v>-5.732270673638256E-2</v>
      </c>
      <c r="V38" s="9" cm="1">
        <f t="array" ref="V38">IFERROR(_xll.BDP($G38&amp;" ISIN","CHG_PCT_1D")/100,"")</f>
        <v>2.5604062224325961E-3</v>
      </c>
      <c r="W38" s="9" cm="1">
        <f t="array" ref="W38">IFERROR(_xll.BDP($G38&amp;" ISIN","CHG_PCT_5D")/100,"")</f>
        <v>-3.513966827490532E-2</v>
      </c>
      <c r="X38" s="9" cm="1">
        <f t="array" ref="X38">_xll.BDP($G38&amp;" ISIN","CHG_PCT_1M")/100</f>
        <v>-3.5898284744780913E-2</v>
      </c>
      <c r="Y38" s="9" cm="1">
        <f t="array" ref="Y38">_xll.BDP($G38&amp;" ISIN","CHG_PCT_3M")/100</f>
        <v>1.4445109671800993E-2</v>
      </c>
      <c r="Z38" s="9" cm="1">
        <f t="array" ref="Z38">_xll.BDP($G38&amp;" ISIN","CHG_PCT_6M")/100</f>
        <v>-6.4694192978582588E-2</v>
      </c>
      <c r="AA38" s="9" cm="1">
        <f t="array" ref="AA38">_xll.BDP($G38&amp;" ISIN","CHG_PCT_YTD")/100</f>
        <v>-1.1575562700965069E-3</v>
      </c>
      <c r="AB38" s="9" t="e">
        <f t="shared" si="2"/>
        <v>#VALUE!</v>
      </c>
      <c r="AC38" s="12">
        <f t="shared" ca="1" si="3"/>
        <v>-2858.6666666666697</v>
      </c>
      <c r="AD38" s="11" t="str">
        <f>_xll.BDP(AI38,"DS199")</f>
        <v>Government</v>
      </c>
      <c r="AE38" s="13">
        <f>_xll.BDP(AI38,"px_ask")</f>
        <v>93.534999999999997</v>
      </c>
      <c r="AF38" s="12">
        <f>IF(F38="USD",O38,(((_xll.BDP(F38&amp;"USD CURNCY","PX_LAST")))*O38))</f>
        <v>200000</v>
      </c>
      <c r="AG38" s="7">
        <f t="shared" si="4"/>
        <v>196990</v>
      </c>
      <c r="AH38" s="7">
        <f t="shared" si="5"/>
        <v>185698</v>
      </c>
      <c r="AI38" s="11" t="str">
        <f t="shared" si="6"/>
        <v>XS2747599509 ISIN</v>
      </c>
      <c r="AJ38" s="11" t="e" cm="1">
        <f t="array" ref="AJ38">VLOOKUP(IF(NOT(_xll.BDP($G38&amp;" CORP",$CA$4)="#N/A N/A"),(_xll.BDP($G38&amp;" CORP",$CA$4)),"-"), '[1]Country Codes'!$A$2:$B$253,2,0)</f>
        <v>#N/A</v>
      </c>
      <c r="AK38" s="11" t="str" cm="1">
        <f t="array" ref="AK38">IF(OR(_xll.BDP($AI38,"EX028")= "#N/A N/A", _xll.BDP($AI38,"EX028")="#N/A FIELD NOT APPLICABLE"), " ", _xll.BDP($AI38,"EX028"))</f>
        <v>FixedIncome</v>
      </c>
      <c r="AL38" s="5" t="str">
        <f>(IF(_xll.BDP($AI38&amp;" ISIN","DZ282")="Y","Single line Bonds Cocos","Single line Bonds ex Cocos"))</f>
        <v>Single line Bonds ex Cocos</v>
      </c>
      <c r="AM38" s="6">
        <f>(IF(_xll.BDP($G38&amp;" ISIN","SP153")="#n/a n/a"," ",_xll.BDP($G38&amp;" ISIN","SP153")))</f>
        <v>247.09037125427869</v>
      </c>
      <c r="AN38" s="14">
        <f t="shared" ca="1" si="7"/>
        <v>45755</v>
      </c>
      <c r="AO38" s="7">
        <f>(((_xll.BDP(AI38,"DS032"))/365)*I38)*O38</f>
        <v>2646.5753424657537</v>
      </c>
      <c r="AP38" s="7">
        <f>IF(F38="USD",AO38,(((_xll.BDP(F38&amp;"USD CURNCY","PX_LAST")))*AO38))</f>
        <v>2646.5753424657537</v>
      </c>
      <c r="AQ38" s="9" t="e">
        <f>S38/$S$140</f>
        <v>#DIV/0!</v>
      </c>
      <c r="AR38" s="7">
        <f t="shared" si="8"/>
        <v>185698</v>
      </c>
      <c r="AS38" s="13">
        <f>IF((TEXT(_xll.BDP(AI38,"MATURITY"),"DD/MM/YYYY")="#N/A Field Not Applicable"),"Perp",_xll.BDP(AI38,"DS252"))</f>
        <v>28.774811772758383</v>
      </c>
      <c r="AT38" s="5" t="str">
        <f>(IF(_xll.BDP($AI38&amp;" ISIN","DT247")="Y","Yes","No"))</f>
        <v>No</v>
      </c>
      <c r="AU38" s="5" t="str">
        <f>PROPER(IF(OR(_xll.BDP($AI38,"CPN_TYP")="#n/a N/A",_xll.BDP($AI38,"CPN_TYP")= "#N/A FIELD NOT APPLICABLE"), " ", _xll.BDP($AI38,"CPN_TYP")))</f>
        <v>Fixed</v>
      </c>
      <c r="BG38" s="27" t="str">
        <f t="shared" si="9"/>
        <v>XS2747599509</v>
      </c>
      <c r="BH38" s="27">
        <v>0.87</v>
      </c>
      <c r="BI38" s="28">
        <v>3</v>
      </c>
      <c r="BJ38" s="36">
        <v>45491</v>
      </c>
      <c r="BK38" s="30">
        <v>1</v>
      </c>
    </row>
    <row r="39" spans="1:63" s="15" customFormat="1" ht="14.45" customHeight="1" x14ac:dyDescent="0.25">
      <c r="A39" s="16" t="s">
        <v>137</v>
      </c>
      <c r="B39" s="16" t="s">
        <v>85</v>
      </c>
      <c r="C39" s="16">
        <v>2620058.003</v>
      </c>
      <c r="D39" s="16" t="s">
        <v>49</v>
      </c>
      <c r="E39" s="11" t="str">
        <f>_xll.BDP(AI39,"ds520")</f>
        <v>Saudi Government International Bond</v>
      </c>
      <c r="F39" s="11" t="str">
        <f>_xll.BDP(AI39,"crncy")</f>
        <v>USD</v>
      </c>
      <c r="G39" s="34" t="s">
        <v>84</v>
      </c>
      <c r="H39" s="11" t="str">
        <f>IF(_xll.BDP(AI39,"RTG_MOODY")="#N/A N/A","N/A",_xll.BDP(AI39,"RTG_MOODY"))&amp;","&amp;IF(_xll.BDP(AI39,"RTG_FITCH")="#N/A N/A","N/A",_xll.BDP(AI39,"RTG_FITCH"))&amp;","&amp;IF(_xll.BDP(AI39,"RTG_SP")="#N/A N/A","N/A",_xll.BDP(AI39,"RTG_SP"))</f>
        <v>Aa3,A+,N/A</v>
      </c>
      <c r="I39" s="5">
        <f>_xll.BDP(AI39,"cpn")/100</f>
        <v>5.7500000000000002E-2</v>
      </c>
      <c r="J39" s="5">
        <f ca="1">_xll.BDP($G39&amp;" isin","YAS_BOND_YLD", "YAS_YLD_FLAG=15", "user_local_trade_date",AN39,"Yas_bond_px",$Q39)/100</f>
        <v>6.2900310000000001E-2</v>
      </c>
      <c r="K39" s="11" t="str">
        <f>_xll.BDP(AI39,"PAYMENT_RANK")</f>
        <v>Sr Unsecured</v>
      </c>
      <c r="L39" s="11" t="str">
        <f>IF((TEXT(_xll.BDP(AI39,"MATURITY"),"DD/MM/YYYY")="#N/A Field Not Applicable"),"Perp",TEXT(_xll.BDP(AI39,"MATURITY"),"DD/MM/YYYY"))</f>
        <v>16/01/2054</v>
      </c>
      <c r="M39" s="6">
        <f>(IF(_xll.BDP($AI39&amp;" ISIN","DU003")="#n/a n/a"," ",_xll.BDP($AI39&amp;" ISIN","DU003")))</f>
        <v>13.70485458726578</v>
      </c>
      <c r="N39" s="11" t="str">
        <f>IF(_xll.BDP(AI39,"CALLABLE")="Y",_xll.BDP(AI39,"NXT_CALL_DT")," ")</f>
        <v xml:space="preserve"> </v>
      </c>
      <c r="O39" s="35">
        <v>200000</v>
      </c>
      <c r="P39" s="34">
        <v>98.495000000000005</v>
      </c>
      <c r="Q39" s="13">
        <f>_xll.BDP(AI39,"px_bid")</f>
        <v>92.849000000000004</v>
      </c>
      <c r="R39" s="7">
        <f>IF(F39="USD",AG39,(((_xll.BDP(F39&amp;"USD CURNCY","PX_LAST")))*AG39))</f>
        <v>196990</v>
      </c>
      <c r="S39" s="7">
        <f>IF(F39="USD",AH39,(((_xll.BDP(F39&amp;"USD CURNCY","PX_LAST")))*AH39))+AP39</f>
        <v>188344.57534246575</v>
      </c>
      <c r="T39" s="8">
        <f t="shared" si="0"/>
        <v>-11292</v>
      </c>
      <c r="U39" s="9">
        <f t="shared" si="1"/>
        <v>-5.732270673638256E-2</v>
      </c>
      <c r="V39" s="9" cm="1">
        <f t="array" ref="V39">IFERROR(_xll.BDP($G39&amp;" ISIN","CHG_PCT_1D")/100,"")</f>
        <v>2.5604062224325961E-3</v>
      </c>
      <c r="W39" s="9" cm="1">
        <f t="array" ref="W39">IFERROR(_xll.BDP($G39&amp;" ISIN","CHG_PCT_5D")/100,"")</f>
        <v>-3.513966827490532E-2</v>
      </c>
      <c r="X39" s="9" cm="1">
        <f t="array" ref="X39">_xll.BDP($G39&amp;" ISIN","CHG_PCT_1M")/100</f>
        <v>-3.5898284744780913E-2</v>
      </c>
      <c r="Y39" s="9" cm="1">
        <f t="array" ref="Y39">_xll.BDP($G39&amp;" ISIN","CHG_PCT_3M")/100</f>
        <v>1.4445109671800993E-2</v>
      </c>
      <c r="Z39" s="9" cm="1">
        <f t="array" ref="Z39">_xll.BDP($G39&amp;" ISIN","CHG_PCT_6M")/100</f>
        <v>-6.4694192978582588E-2</v>
      </c>
      <c r="AA39" s="9" cm="1">
        <f t="array" ref="AA39">_xll.BDP($G39&amp;" ISIN","CHG_PCT_YTD")/100</f>
        <v>-1.1575562700965069E-3</v>
      </c>
      <c r="AB39" s="9" t="e">
        <f t="shared" si="2"/>
        <v>#VALUE!</v>
      </c>
      <c r="AC39" s="12">
        <f t="shared" ca="1" si="3"/>
        <v>-2858.6666666666697</v>
      </c>
      <c r="AD39" s="11" t="str">
        <f>_xll.BDP(AI39,"DS199")</f>
        <v>Government</v>
      </c>
      <c r="AE39" s="13">
        <f>_xll.BDP(AI39,"px_ask")</f>
        <v>93.534999999999997</v>
      </c>
      <c r="AF39" s="12">
        <f>IF(F39="USD",O39,(((_xll.BDP(F39&amp;"USD CURNCY","PX_LAST")))*O39))</f>
        <v>200000</v>
      </c>
      <c r="AG39" s="7">
        <f t="shared" si="4"/>
        <v>196990</v>
      </c>
      <c r="AH39" s="7">
        <f t="shared" si="5"/>
        <v>185698</v>
      </c>
      <c r="AI39" s="11" t="str">
        <f t="shared" si="6"/>
        <v>XS2747599509 ISIN</v>
      </c>
      <c r="AJ39" s="11" t="e" cm="1">
        <f t="array" ref="AJ39">VLOOKUP(IF(NOT(_xll.BDP($G39&amp;" CORP",$CA$4)="#N/A N/A"),(_xll.BDP($G39&amp;" CORP",$CA$4)),"-"), '[1]Country Codes'!$A$2:$B$253,2,0)</f>
        <v>#N/A</v>
      </c>
      <c r="AK39" s="11" t="str" cm="1">
        <f t="array" ref="AK39">IF(OR(_xll.BDP($AI39,"EX028")= "#N/A N/A", _xll.BDP($AI39,"EX028")="#N/A FIELD NOT APPLICABLE"), " ", _xll.BDP($AI39,"EX028"))</f>
        <v>FixedIncome</v>
      </c>
      <c r="AL39" s="5" t="str">
        <f>(IF(_xll.BDP($AI39&amp;" ISIN","DZ282")="Y","Single line Bonds Cocos","Single line Bonds ex Cocos"))</f>
        <v>Single line Bonds ex Cocos</v>
      </c>
      <c r="AM39" s="6">
        <f>(IF(_xll.BDP($G39&amp;" ISIN","SP153")="#n/a n/a"," ",_xll.BDP($G39&amp;" ISIN","SP153")))</f>
        <v>247.09037125427869</v>
      </c>
      <c r="AN39" s="14">
        <f t="shared" ca="1" si="7"/>
        <v>45755</v>
      </c>
      <c r="AO39" s="7">
        <f>(((_xll.BDP(AI39,"DS032"))/365)*I39)*O39</f>
        <v>2646.5753424657537</v>
      </c>
      <c r="AP39" s="7">
        <f>IF(F39="USD",AO39,(((_xll.BDP(F39&amp;"USD CURNCY","PX_LAST")))*AO39))</f>
        <v>2646.5753424657537</v>
      </c>
      <c r="AQ39" s="9" t="e">
        <f>S39/$S$136</f>
        <v>#DIV/0!</v>
      </c>
      <c r="AR39" s="7">
        <f t="shared" si="8"/>
        <v>185698</v>
      </c>
      <c r="AS39" s="13">
        <f>IF((TEXT(_xll.BDP(AI39,"MATURITY"),"DD/MM/YYYY")="#N/A Field Not Applicable"),"Perp",_xll.BDP(AI39,"DS252"))</f>
        <v>28.774811772758383</v>
      </c>
      <c r="AT39" s="5" t="str">
        <f>(IF(_xll.BDP($AI39&amp;" ISIN","DT247")="Y","Yes","No"))</f>
        <v>No</v>
      </c>
      <c r="AU39" s="5" t="str">
        <f>PROPER(IF(OR(_xll.BDP($AI39,"CPN_TYP")="#n/a N/A",_xll.BDP($AI39,"CPN_TYP")= "#N/A FIELD NOT APPLICABLE"), " ", _xll.BDP($AI39,"CPN_TYP")))</f>
        <v>Fixed</v>
      </c>
      <c r="BG39" s="27" t="str">
        <f t="shared" si="9"/>
        <v>XS2747599509</v>
      </c>
      <c r="BH39" s="27">
        <v>0.85</v>
      </c>
      <c r="BI39" s="28">
        <v>3</v>
      </c>
      <c r="BJ39" s="36">
        <v>45491</v>
      </c>
      <c r="BK39" s="30">
        <v>1</v>
      </c>
    </row>
    <row r="40" spans="1:63" s="15" customFormat="1" ht="14.45" customHeight="1" x14ac:dyDescent="0.25">
      <c r="A40" s="16" t="s">
        <v>137</v>
      </c>
      <c r="B40" s="16" t="s">
        <v>124</v>
      </c>
      <c r="C40" s="16" t="s">
        <v>125</v>
      </c>
      <c r="D40" s="16" t="s">
        <v>49</v>
      </c>
      <c r="E40" s="11" t="str">
        <f>_xll.BDP(AI40,"ds520")</f>
        <v>United Kingdom Gilt</v>
      </c>
      <c r="F40" s="11" t="str">
        <f>_xll.BDP(AI40,"crncy")</f>
        <v>GBP</v>
      </c>
      <c r="G40" s="34" t="s">
        <v>121</v>
      </c>
      <c r="H40" s="11" t="str">
        <f>IF(_xll.BDP(AI40,"RTG_MOODY")="#N/A N/A","N/A",_xll.BDP(AI40,"RTG_MOODY"))&amp;","&amp;IF(_xll.BDP(AI40,"RTG_FITCH")="#N/A N/A","N/A",_xll.BDP(AI40,"RTG_FITCH"))&amp;","&amp;IF(_xll.BDP(AI40,"RTG_SP")="#N/A N/A","N/A",_xll.BDP(AI40,"RTG_SP"))</f>
        <v>Aa3u,AA-u,N/A</v>
      </c>
      <c r="I40" s="5">
        <f>_xll.BDP(AI40,"cpn")/100</f>
        <v>5.0000000000000001E-3</v>
      </c>
      <c r="J40" s="5">
        <f ca="1">_xll.BDP($G40&amp;" isin","YAS_BOND_YLD", "YAS_YLD_FLAG=15", "user_local_trade_date",AN40,"Yas_bond_px",$Q40)/100</f>
        <v>4.6937600000000003E-2</v>
      </c>
      <c r="K40" s="11" t="str">
        <f>_xll.BDP(AI40,"PAYMENT_RANK")</f>
        <v>Unsecured</v>
      </c>
      <c r="L40" s="11" t="str">
        <f>IF((TEXT(_xll.BDP(AI40,"MATURITY"),"DD/MM/YYYY")="#N/A Field Not Applicable"),"Perp",TEXT(_xll.BDP(AI40,"MATURITY"),"DD/MM/YYYY"))</f>
        <v>22/10/2061</v>
      </c>
      <c r="M40" s="6">
        <f>(IF(_xll.BDP($AI40&amp;" ISIN","DU003")="#n/a n/a"," ",_xll.BDP($AI40&amp;" ISIN","DU003")))</f>
        <v>28.918038542490766</v>
      </c>
      <c r="N40" s="11" t="str">
        <f>IF(_xll.BDP(AI40,"CALLABLE")="Y",_xll.BDP(AI40,"NXT_CALL_DT")," ")</f>
        <v xml:space="preserve"> </v>
      </c>
      <c r="O40" s="35">
        <v>74235</v>
      </c>
      <c r="P40" s="34">
        <v>31.66217</v>
      </c>
      <c r="Q40" s="13">
        <f>_xll.BDP(AI40,"px_bid")</f>
        <v>27.055</v>
      </c>
      <c r="R40" s="7">
        <f>IF(F40="USD",AG40,(((_xll.BDP(F40&amp;"USD CURNCY","PX_LAST")))*AG40))</f>
        <v>30029.236642801199</v>
      </c>
      <c r="S40" s="7">
        <f>IF(F40="USD",AH40,(((_xll.BDP(F40&amp;"USD CURNCY","PX_LAST")))*AH40))+AP40</f>
        <v>25879.242368210958</v>
      </c>
      <c r="T40" s="8">
        <f t="shared" si="0"/>
        <v>-4369.5614730011994</v>
      </c>
      <c r="U40" s="9">
        <f t="shared" si="1"/>
        <v>-0.14551024140164745</v>
      </c>
      <c r="V40" s="9" cm="1">
        <f t="array" ref="V40">IFERROR(_xll.BDP($G40&amp;" ISIN","CHG_PCT_1D")/100,"")</f>
        <v>-8.4196654098180768E-3</v>
      </c>
      <c r="W40" s="9" cm="1">
        <f t="array" ref="W40">IFERROR(_xll.BDP($G40&amp;" ISIN","CHG_PCT_5D")/100,"")</f>
        <v>-2.4665130347112155E-2</v>
      </c>
      <c r="X40" s="9" cm="1">
        <f t="array" ref="X40">_xll.BDP($G40&amp;" ISIN","CHG_PCT_1M")/100</f>
        <v>-2.9591946404900961E-2</v>
      </c>
      <c r="Y40" s="9" cm="1">
        <f t="array" ref="Y40">_xll.BDP($G40&amp;" ISIN","CHG_PCT_3M")/100</f>
        <v>2.1803915651288218E-2</v>
      </c>
      <c r="Z40" s="9" cm="1">
        <f t="array" ref="Z40">_xll.BDP($G40&amp;" ISIN","CHG_PCT_6M")/100</f>
        <v>-8.5578286408750259E-2</v>
      </c>
      <c r="AA40" s="9" cm="1">
        <f t="array" ref="AA40">_xll.BDP($G40&amp;" ISIN","CHG_PCT_YTD")/100</f>
        <v>-3.7214757944124564E-2</v>
      </c>
      <c r="AB40" s="9" t="e">
        <f>S40/$H$37</f>
        <v>#VALUE!</v>
      </c>
      <c r="AC40" s="12">
        <f t="shared" ca="1" si="3"/>
        <v>-4045.5158000012002</v>
      </c>
      <c r="AD40" s="11" t="str">
        <f>_xll.BDP(AI40,"DS199")</f>
        <v>Government</v>
      </c>
      <c r="AE40" s="13">
        <f>_xll.BDP(AI40,"px_ask")</f>
        <v>27.117999999999999</v>
      </c>
      <c r="AF40" s="12">
        <f>IF(F40="USD",O40,(((_xll.BDP(F40&amp;"USD CURNCY","PX_LAST")))*O40))</f>
        <v>94842.635999999999</v>
      </c>
      <c r="AG40" s="7">
        <f t="shared" si="4"/>
        <v>23504.411899499999</v>
      </c>
      <c r="AH40" s="7">
        <f t="shared" si="5"/>
        <v>20084.27925</v>
      </c>
      <c r="AI40" s="11" t="str">
        <f t="shared" si="6"/>
        <v>GB00BMBL1D50 ISIN</v>
      </c>
      <c r="AJ40" s="11" t="e" cm="1">
        <f t="array" ref="AJ40">VLOOKUP(IF(NOT(_xll.BDP($G40&amp;" CORP",$CA$3)="#N/A N/A"),(_xll.BDP($G40&amp;" CORP",$CA$3)),"-"), '[1]Country Codes'!$A$2:$B$253,2,0)</f>
        <v>#N/A</v>
      </c>
      <c r="AK40" s="11" t="str" cm="1">
        <f t="array" ref="AK40">IF(OR(_xll.BDP($AI40,"EX028")= "#N/A N/A", _xll.BDP($AI40,"EX028")="#N/A FIELD NOT APPLICABLE"), " ", _xll.BDP($AI40,"EX028"))</f>
        <v>FixedIncome</v>
      </c>
      <c r="AL40" s="5" t="str">
        <f>(IF(_xll.BDP($AI40&amp;" ISIN","DZ282")="Y","Single line Bonds Cocos","Single line Bonds ex Cocos"))</f>
        <v>Single line Bonds ex Cocos</v>
      </c>
      <c r="AM40" s="6">
        <f>(IF(_xll.BDP($G40&amp;" ISIN","SP153")="#n/a n/a"," ",_xll.BDP($G40&amp;" ISIN","SP153")))</f>
        <v>33.543213104092565</v>
      </c>
      <c r="AN40" s="14">
        <f t="shared" ca="1" si="7"/>
        <v>45755</v>
      </c>
      <c r="AO40" s="7">
        <f>(((_xll.BDP(AI40,"DS032"))/365)*I40)*O40</f>
        <v>171.85910958904108</v>
      </c>
      <c r="AP40" s="7">
        <f>IF(F40="USD",AO40,(((_xll.BDP(F40&amp;"USD CURNCY","PX_LAST")))*AO40))</f>
        <v>219.56719841095889</v>
      </c>
      <c r="AQ40" s="9" t="e">
        <f>S40/$S$127</f>
        <v>#DIV/0!</v>
      </c>
      <c r="AR40" s="7">
        <f t="shared" si="8"/>
        <v>25659.675169800001</v>
      </c>
      <c r="AS40" s="13">
        <f>IF((TEXT(_xll.BDP(AI40,"MATURITY"),"DD/MM/YYYY")="#N/A Field Not Applicable"),"Perp",_xll.BDP(AI40,"DS252"))</f>
        <v>36.539356605065024</v>
      </c>
      <c r="AT40" s="5" t="str">
        <f>(IF(_xll.BDP($AI40&amp;" ISIN","DT247")="Y","Yes","No"))</f>
        <v>No</v>
      </c>
      <c r="AU40" s="5" t="str">
        <f>PROPER(IF(OR(_xll.BDP($AI40,"CPN_TYP")="#n/a N/A",_xll.BDP($AI40,"CPN_TYP")= "#N/A FIELD NOT APPLICABLE"), " ", _xll.BDP($AI40,"CPN_TYP")))</f>
        <v>Fixed</v>
      </c>
      <c r="BG40" s="27" t="str">
        <f t="shared" si="9"/>
        <v>GB00BMBL1D50</v>
      </c>
      <c r="BH40" s="27">
        <v>0.8</v>
      </c>
      <c r="BI40" s="28">
        <v>2</v>
      </c>
      <c r="BJ40" s="36">
        <v>45509</v>
      </c>
      <c r="BK40" s="30">
        <v>1</v>
      </c>
    </row>
    <row r="41" spans="1:63" s="15" customFormat="1" ht="14.45" customHeight="1" x14ac:dyDescent="0.25">
      <c r="A41" s="16" t="s">
        <v>137</v>
      </c>
      <c r="B41" s="16" t="s">
        <v>126</v>
      </c>
      <c r="C41" s="16" t="s">
        <v>127</v>
      </c>
      <c r="D41" s="16" t="s">
        <v>49</v>
      </c>
      <c r="E41" s="11" t="str">
        <f>_xll.BDP(AI41,"ds520")</f>
        <v>United Kingdom Gilt</v>
      </c>
      <c r="F41" s="11" t="str">
        <f>_xll.BDP(AI41,"crncy")</f>
        <v>GBP</v>
      </c>
      <c r="G41" s="34" t="s">
        <v>121</v>
      </c>
      <c r="H41" s="11" t="str">
        <f>IF(_xll.BDP(AI41,"RTG_MOODY")="#N/A N/A","N/A",_xll.BDP(AI41,"RTG_MOODY"))&amp;","&amp;IF(_xll.BDP(AI41,"RTG_FITCH")="#N/A N/A","N/A",_xll.BDP(AI41,"RTG_FITCH"))&amp;","&amp;IF(_xll.BDP(AI41,"RTG_SP")="#N/A N/A","N/A",_xll.BDP(AI41,"RTG_SP"))</f>
        <v>Aa3u,AA-u,N/A</v>
      </c>
      <c r="I41" s="5">
        <f>_xll.BDP(AI41,"cpn")/100</f>
        <v>5.0000000000000001E-3</v>
      </c>
      <c r="J41" s="5">
        <f ca="1">_xll.BDP($G41&amp;" isin","YAS_BOND_YLD", "YAS_YLD_FLAG=15", "user_local_trade_date",AN41,"Yas_bond_px",$Q41)/100</f>
        <v>4.6937600000000003E-2</v>
      </c>
      <c r="K41" s="11" t="str">
        <f>_xll.BDP(AI41,"PAYMENT_RANK")</f>
        <v>Unsecured</v>
      </c>
      <c r="L41" s="11" t="str">
        <f>IF((TEXT(_xll.BDP(AI41,"MATURITY"),"DD/MM/YYYY")="#N/A Field Not Applicable"),"Perp",TEXT(_xll.BDP(AI41,"MATURITY"),"DD/MM/YYYY"))</f>
        <v>22/10/2061</v>
      </c>
      <c r="M41" s="6">
        <f>(IF(_xll.BDP($AI41&amp;" ISIN","DU003")="#n/a n/a"," ",_xll.BDP($AI41&amp;" ISIN","DU003")))</f>
        <v>28.918038542490766</v>
      </c>
      <c r="N41" s="11" t="str">
        <f>IF(_xll.BDP(AI41,"CALLABLE")="Y",_xll.BDP(AI41,"NXT_CALL_DT")," ")</f>
        <v xml:space="preserve"> </v>
      </c>
      <c r="O41" s="35">
        <v>148491</v>
      </c>
      <c r="P41" s="34">
        <v>31.65776</v>
      </c>
      <c r="Q41" s="13">
        <f>_xll.BDP(AI41,"px_bid")</f>
        <v>27.055</v>
      </c>
      <c r="R41" s="7">
        <f>IF(F41="USD",AG41,(((_xll.BDP(F41&amp;"USD CURNCY","PX_LAST")))*AG41))</f>
        <v>60058.601815484166</v>
      </c>
      <c r="S41" s="7">
        <f>IF(F41="USD",AH41,(((_xll.BDP(F41&amp;"USD CURNCY","PX_LAST")))*AH41))+AP41</f>
        <v>51771.905548580005</v>
      </c>
      <c r="T41" s="8">
        <f t="shared" si="0"/>
        <v>-8731.9927276041599</v>
      </c>
      <c r="U41" s="9">
        <f t="shared" si="1"/>
        <v>-0.14539120898004154</v>
      </c>
      <c r="V41" s="9" cm="1">
        <f t="array" ref="V41">IFERROR(_xll.BDP($G41&amp;" ISIN","CHG_PCT_1D")/100,"")</f>
        <v>-8.4196654098180768E-3</v>
      </c>
      <c r="W41" s="9" cm="1">
        <f t="array" ref="W41">IFERROR(_xll.BDP($G41&amp;" ISIN","CHG_PCT_5D")/100,"")</f>
        <v>-2.4665130347112155E-2</v>
      </c>
      <c r="X41" s="9" cm="1">
        <f t="array" ref="X41">_xll.BDP($G41&amp;" ISIN","CHG_PCT_1M")/100</f>
        <v>-2.9591946404900961E-2</v>
      </c>
      <c r="Y41" s="9" cm="1">
        <f t="array" ref="Y41">_xll.BDP($G41&amp;" ISIN","CHG_PCT_3M")/100</f>
        <v>2.1803915651288218E-2</v>
      </c>
      <c r="Z41" s="9" cm="1">
        <f t="array" ref="Z41">_xll.BDP($G41&amp;" ISIN","CHG_PCT_6M")/100</f>
        <v>-8.5578286408750259E-2</v>
      </c>
      <c r="AA41" s="9" cm="1">
        <f t="array" ref="AA41">_xll.BDP($G41&amp;" ISIN","CHG_PCT_YTD")/100</f>
        <v>-3.7214757944124564E-2</v>
      </c>
      <c r="AB41" s="9" t="e">
        <f t="shared" ref="AB41:AB48" si="10">S41/$H$38</f>
        <v>#VALUE!</v>
      </c>
      <c r="AC41" s="12">
        <f t="shared" ca="1" si="3"/>
        <v>-8083.8097138041612</v>
      </c>
      <c r="AD41" s="11" t="str">
        <f>_xll.BDP(AI41,"DS199")</f>
        <v>Government</v>
      </c>
      <c r="AE41" s="13">
        <f>_xll.BDP(AI41,"px_ask")</f>
        <v>27.117999999999999</v>
      </c>
      <c r="AF41" s="12">
        <f>IF(F41="USD",O41,(((_xll.BDP(F41&amp;"USD CURNCY","PX_LAST")))*O41))</f>
        <v>189712.10160000002</v>
      </c>
      <c r="AG41" s="7">
        <f t="shared" si="4"/>
        <v>47008.924401600001</v>
      </c>
      <c r="AH41" s="7">
        <f t="shared" si="5"/>
        <v>40174.24005</v>
      </c>
      <c r="AI41" s="11" t="str">
        <f t="shared" si="6"/>
        <v>GB00BMBL1D50 ISIN</v>
      </c>
      <c r="AJ41" s="11" t="e" cm="1">
        <f t="array" ref="AJ41">VLOOKUP(IF(NOT(_xll.BDP($G41&amp;" CORP",$CA$4)="#N/A N/A"),(_xll.BDP($G41&amp;" CORP",$CA$4)),"-"), '[1]Country Codes'!$A$2:$B$253,2,0)</f>
        <v>#N/A</v>
      </c>
      <c r="AK41" s="11" t="str" cm="1">
        <f t="array" ref="AK41">IF(OR(_xll.BDP($AI41,"EX028")= "#N/A N/A", _xll.BDP($AI41,"EX028")="#N/A FIELD NOT APPLICABLE"), " ", _xll.BDP($AI41,"EX028"))</f>
        <v>FixedIncome</v>
      </c>
      <c r="AL41" s="5" t="str">
        <f>(IF(_xll.BDP($AI41&amp;" ISIN","DZ282")="Y","Single line Bonds Cocos","Single line Bonds ex Cocos"))</f>
        <v>Single line Bonds ex Cocos</v>
      </c>
      <c r="AM41" s="6">
        <f>(IF(_xll.BDP($G41&amp;" ISIN","SP153")="#n/a n/a"," ",_xll.BDP($G41&amp;" ISIN","SP153")))</f>
        <v>33.543213104092565</v>
      </c>
      <c r="AN41" s="14">
        <f t="shared" ca="1" si="7"/>
        <v>45755</v>
      </c>
      <c r="AO41" s="7">
        <f>(((_xll.BDP(AI41,"DS032"))/360)*I41)*O41</f>
        <v>348.54137500000002</v>
      </c>
      <c r="AP41" s="7">
        <f>IF(F41="USD",AO41,(((_xll.BDP(F41&amp;"USD CURNCY","PX_LAST")))*AO41))</f>
        <v>445.29646070000007</v>
      </c>
      <c r="AQ41" s="9" t="e">
        <f>S41/$S$135</f>
        <v>#DIV/0!</v>
      </c>
      <c r="AR41" s="7">
        <f t="shared" si="8"/>
        <v>51326.609087880002</v>
      </c>
      <c r="AS41" s="13">
        <f>IF((TEXT(_xll.BDP(AI41,"MATURITY"),"DD/MM/YYYY")="#N/A Field Not Applicable"),"Perp",_xll.BDP(AI41,"DS252"))</f>
        <v>36.539356605065024</v>
      </c>
      <c r="AT41" s="5" t="str">
        <f>(IF(_xll.BDP($AI41&amp;" ISIN","DT247")="Y","Yes","No"))</f>
        <v>No</v>
      </c>
      <c r="AU41" s="5" t="str">
        <f>PROPER(IF(OR(_xll.BDP($AI41,"CPN_TYP")="#n/a N/A",_xll.BDP($AI41,"CPN_TYP")= "#N/A FIELD NOT APPLICABLE"), " ", _xll.BDP($AI41,"CPN_TYP")))</f>
        <v>Fixed</v>
      </c>
      <c r="BG41" s="27" t="str">
        <f t="shared" si="9"/>
        <v>GB00BMBL1D50</v>
      </c>
      <c r="BH41" s="27">
        <v>0.82</v>
      </c>
      <c r="BI41" s="28">
        <v>2</v>
      </c>
      <c r="BJ41" s="36">
        <v>45509</v>
      </c>
      <c r="BK41" s="30">
        <v>1</v>
      </c>
    </row>
    <row r="42" spans="1:63" s="15" customFormat="1" ht="14.45" customHeight="1" x14ac:dyDescent="0.25">
      <c r="A42" s="16" t="s">
        <v>137</v>
      </c>
      <c r="B42" s="16" t="s">
        <v>47</v>
      </c>
      <c r="C42" s="16" t="s">
        <v>48</v>
      </c>
      <c r="D42" s="16" t="s">
        <v>49</v>
      </c>
      <c r="E42" s="11" t="str">
        <f>_xll.BDP(AI42,"ds520")</f>
        <v>United Kingdom Gilt</v>
      </c>
      <c r="F42" s="11" t="str">
        <f>_xll.BDP(AI42,"crncy")</f>
        <v>GBP</v>
      </c>
      <c r="G42" s="34" t="s">
        <v>121</v>
      </c>
      <c r="H42" s="11" t="str">
        <f>IF(_xll.BDP(AI42,"RTG_MOODY")="#N/A N/A","N/A",_xll.BDP(AI42,"RTG_MOODY"))&amp;","&amp;IF(_xll.BDP(AI42,"RTG_FITCH")="#N/A N/A","N/A",_xll.BDP(AI42,"RTG_FITCH"))&amp;","&amp;IF(_xll.BDP(AI42,"RTG_SP")="#N/A N/A","N/A",_xll.BDP(AI42,"RTG_SP"))</f>
        <v>Aa3u,AA-u,N/A</v>
      </c>
      <c r="I42" s="5">
        <f>_xll.BDP(AI42,"cpn")/100</f>
        <v>5.0000000000000001E-3</v>
      </c>
      <c r="J42" s="5">
        <f ca="1">_xll.BDP($G42&amp;" isin","YAS_BOND_YLD", "YAS_YLD_FLAG=15", "user_local_trade_date",AN42,"Yas_bond_px",$Q42)/100</f>
        <v>4.6937600000000003E-2</v>
      </c>
      <c r="K42" s="11" t="str">
        <f>_xll.BDP(AI42,"PAYMENT_RANK")</f>
        <v>Unsecured</v>
      </c>
      <c r="L42" s="11" t="str">
        <f>IF((TEXT(_xll.BDP(AI42,"MATURITY"),"DD/MM/YYYY")="#N/A Field Not Applicable"),"Perp",TEXT(_xll.BDP(AI42,"MATURITY"),"DD/MM/YYYY"))</f>
        <v>22/10/2061</v>
      </c>
      <c r="M42" s="6">
        <f>(IF(_xll.BDP($AI42&amp;" ISIN","DU003")="#n/a n/a"," ",_xll.BDP($AI42&amp;" ISIN","DU003")))</f>
        <v>28.918038542490766</v>
      </c>
      <c r="N42" s="11" t="str">
        <f>IF(_xll.BDP(AI42,"CALLABLE")="Y",_xll.BDP(AI42,"NXT_CALL_DT")," ")</f>
        <v xml:space="preserve"> </v>
      </c>
      <c r="O42" s="35">
        <v>172753</v>
      </c>
      <c r="P42" s="34">
        <v>31.688379999999999</v>
      </c>
      <c r="Q42" s="13">
        <f>_xll.BDP(AI42,"px_bid")</f>
        <v>27.055</v>
      </c>
      <c r="R42" s="7">
        <f>IF(F42="USD",AG42,(((_xll.BDP(F42&amp;"USD CURNCY","PX_LAST")))*AG42))</f>
        <v>69939.180384748644</v>
      </c>
      <c r="S42" s="7">
        <f>IF(F42="USD",AH42,(((_xll.BDP(F42&amp;"USD CURNCY","PX_LAST")))*AH42))+AP42</f>
        <v>60230.93654991778</v>
      </c>
      <c r="T42" s="8">
        <f t="shared" si="0"/>
        <v>-10226.29745070864</v>
      </c>
      <c r="U42" s="9">
        <f t="shared" si="1"/>
        <v>-0.1462170044666215</v>
      </c>
      <c r="V42" s="9" cm="1">
        <f t="array" ref="V42">IFERROR(_xll.BDP($G42&amp;" ISIN","CHG_PCT_1D")/100,"")</f>
        <v>-8.4196654098180768E-3</v>
      </c>
      <c r="W42" s="9" cm="1">
        <f t="array" ref="W42">IFERROR(_xll.BDP($G42&amp;" ISIN","CHG_PCT_5D")/100,"")</f>
        <v>-2.4665130347112155E-2</v>
      </c>
      <c r="X42" s="9" cm="1">
        <f t="array" ref="X42">_xll.BDP($G42&amp;" ISIN","CHG_PCT_1M")/100</f>
        <v>-2.9591946404900961E-2</v>
      </c>
      <c r="Y42" s="9" cm="1">
        <f t="array" ref="Y42">_xll.BDP($G42&amp;" ISIN","CHG_PCT_3M")/100</f>
        <v>2.1803915651288218E-2</v>
      </c>
      <c r="Z42" s="9" cm="1">
        <f t="array" ref="Z42">_xll.BDP($G42&amp;" ISIN","CHG_PCT_6M")/100</f>
        <v>-8.5578286408750259E-2</v>
      </c>
      <c r="AA42" s="9" cm="1">
        <f t="array" ref="AA42">_xll.BDP($G42&amp;" ISIN","CHG_PCT_YTD")/100</f>
        <v>-3.7214757944124564E-2</v>
      </c>
      <c r="AB42" s="9" t="e">
        <f t="shared" si="10"/>
        <v>#VALUE!</v>
      </c>
      <c r="AC42" s="12">
        <f t="shared" ca="1" si="3"/>
        <v>-9472.2075719753029</v>
      </c>
      <c r="AD42" s="11" t="str">
        <f>_xll.BDP(AI42,"DS199")</f>
        <v>Government</v>
      </c>
      <c r="AE42" s="13">
        <f>_xll.BDP(AI42,"px_ask")</f>
        <v>27.117999999999999</v>
      </c>
      <c r="AF42" s="12">
        <f>IF(F42="USD",O42,(((_xll.BDP(F42&amp;"USD CURNCY","PX_LAST")))*O42))</f>
        <v>220709.2328</v>
      </c>
      <c r="AG42" s="7">
        <f t="shared" si="4"/>
        <v>54742.627101400001</v>
      </c>
      <c r="AH42" s="7">
        <f t="shared" si="5"/>
        <v>46738.32415</v>
      </c>
      <c r="AI42" s="11" t="str">
        <f t="shared" si="6"/>
        <v>GB00BMBL1D50 ISIN</v>
      </c>
      <c r="AJ42" s="11" t="e" cm="1">
        <f t="array" ref="AJ42">VLOOKUP(IF(NOT(_xll.BDP($G42&amp;" CORP",$CA$4)="#N/A N/A"),(_xll.BDP($G42&amp;" CORP",$CA$4)),"-"), '[1]Country Codes'!$A$2:$B$253,2,0)</f>
        <v>#N/A</v>
      </c>
      <c r="AK42" s="11" t="str" cm="1">
        <f t="array" ref="AK42">IF(OR(_xll.BDP($AI42,"EX028")= "#N/A N/A", _xll.BDP($AI42,"EX028")="#N/A FIELD NOT APPLICABLE"), " ", _xll.BDP($AI42,"EX028"))</f>
        <v>FixedIncome</v>
      </c>
      <c r="AL42" s="5" t="str">
        <f>(IF(_xll.BDP($AI42&amp;" ISIN","DZ282")="Y","Single line Bonds Cocos","Single line Bonds ex Cocos"))</f>
        <v>Single line Bonds ex Cocos</v>
      </c>
      <c r="AM42" s="6">
        <f>(IF(_xll.BDP($G42&amp;" ISIN","SP153")="#n/a n/a"," ",_xll.BDP($G42&amp;" ISIN","SP153")))</f>
        <v>33.543213104092565</v>
      </c>
      <c r="AN42" s="14">
        <f t="shared" ca="1" si="7"/>
        <v>45755</v>
      </c>
      <c r="AO42" s="7">
        <f>(((_xll.BDP(AI42,"DS032"))/360)*I42)*O42</f>
        <v>405.48968055555559</v>
      </c>
      <c r="AP42" s="7">
        <f>IF(F42="USD",AO42,(((_xll.BDP(F42&amp;"USD CURNCY","PX_LAST")))*AO42))</f>
        <v>518.05361587777782</v>
      </c>
      <c r="AQ42" s="9" t="e">
        <f>S42/$S$136</f>
        <v>#DIV/0!</v>
      </c>
      <c r="AR42" s="7">
        <f t="shared" si="8"/>
        <v>59712.882934040004</v>
      </c>
      <c r="AS42" s="13">
        <f>IF((TEXT(_xll.BDP(AI42,"MATURITY"),"DD/MM/YYYY")="#N/A Field Not Applicable"),"Perp",_xll.BDP(AI42,"DS252"))</f>
        <v>36.539356605065024</v>
      </c>
      <c r="AT42" s="5" t="str">
        <f>(IF(_xll.BDP($AI42&amp;" ISIN","DT247")="Y","Yes","No"))</f>
        <v>No</v>
      </c>
      <c r="AU42" s="5" t="str">
        <f>PROPER(IF(OR(_xll.BDP($AI42,"CPN_TYP")="#n/a N/A",_xll.BDP($AI42,"CPN_TYP")= "#N/A FIELD NOT APPLICABLE"), " ", _xll.BDP($AI42,"CPN_TYP")))</f>
        <v>Fixed</v>
      </c>
      <c r="BG42" s="27" t="str">
        <f t="shared" si="9"/>
        <v>GB00BMBL1D50</v>
      </c>
      <c r="BH42" s="27">
        <v>0.82</v>
      </c>
      <c r="BI42" s="28">
        <v>2</v>
      </c>
      <c r="BJ42" s="36">
        <v>45509</v>
      </c>
      <c r="BK42" s="30">
        <v>1</v>
      </c>
    </row>
    <row r="43" spans="1:63" s="15" customFormat="1" ht="14.45" customHeight="1" x14ac:dyDescent="0.25">
      <c r="A43" s="16" t="s">
        <v>138</v>
      </c>
      <c r="B43" s="16" t="s">
        <v>51</v>
      </c>
      <c r="C43" s="16" t="s">
        <v>52</v>
      </c>
      <c r="D43" s="16" t="s">
        <v>53</v>
      </c>
      <c r="E43" s="11" t="str">
        <f>_xll.BDP(AI43,"ds520")</f>
        <v>United Kingdom Gilt</v>
      </c>
      <c r="F43" s="11" t="str">
        <f>_xll.BDP(AI43,"crncy")</f>
        <v>GBP</v>
      </c>
      <c r="G43" s="34" t="s">
        <v>121</v>
      </c>
      <c r="H43" s="11" t="str">
        <f>IF(_xll.BDP(AI43,"RTG_MOODY")="#N/A N/A","N/A",_xll.BDP(AI43,"RTG_MOODY"))&amp;","&amp;IF(_xll.BDP(AI43,"RTG_FITCH")="#N/A N/A","N/A",_xll.BDP(AI43,"RTG_FITCH"))&amp;","&amp;IF(_xll.BDP(AI43,"RTG_SP")="#N/A N/A","N/A",_xll.BDP(AI43,"RTG_SP"))</f>
        <v>Aa3u,AA-u,N/A</v>
      </c>
      <c r="I43" s="5">
        <f>_xll.BDP(AI43,"cpn")/100</f>
        <v>5.0000000000000001E-3</v>
      </c>
      <c r="J43" s="5">
        <f ca="1">_xll.BDP($G43&amp;" isin","YAS_BOND_YLD", "YAS_YLD_FLAG=15", "user_local_trade_date",AN43,"Yas_bond_px",$Q43)/100</f>
        <v>4.6937600000000003E-2</v>
      </c>
      <c r="K43" s="11" t="str">
        <f>_xll.BDP(AI43,"PAYMENT_RANK")</f>
        <v>Unsecured</v>
      </c>
      <c r="L43" s="11" t="str">
        <f>IF((TEXT(_xll.BDP(AI43,"MATURITY"),"DD/MM/YYYY")="#N/A Field Not Applicable"),"Perp",TEXT(_xll.BDP(AI43,"MATURITY"),"DD/MM/YYYY"))</f>
        <v>22/10/2061</v>
      </c>
      <c r="M43" s="6">
        <f>(IF(_xll.BDP($AI43&amp;" ISIN","DU003")="#n/a n/a"," ",_xll.BDP($AI43&amp;" ISIN","DU003")))</f>
        <v>28.918038542490766</v>
      </c>
      <c r="N43" s="11" t="str">
        <f>IF(_xll.BDP(AI43,"CALLABLE")="Y",_xll.BDP(AI43,"NXT_CALL_DT")," ")</f>
        <v xml:space="preserve"> </v>
      </c>
      <c r="O43" s="35">
        <v>247074</v>
      </c>
      <c r="P43" s="34">
        <v>31.867999999999999</v>
      </c>
      <c r="Q43" s="13">
        <f>_xll.BDP(AI43,"px_bid")</f>
        <v>27.055</v>
      </c>
      <c r="R43" s="7">
        <f>IF(F43="USD",AG43,(((_xll.BDP(F43&amp;"USD CURNCY","PX_LAST")))*AG43))</f>
        <v>100595.084068032</v>
      </c>
      <c r="S43" s="7">
        <f>IF(F43="USD",AH43,(((_xll.BDP(F43&amp;"USD CURNCY","PX_LAST")))*AH43))+AP43</f>
        <v>86143.212662786667</v>
      </c>
      <c r="T43" s="8">
        <f t="shared" si="0"/>
        <v>-15192.799661711997</v>
      </c>
      <c r="U43" s="9">
        <f t="shared" si="1"/>
        <v>-0.15102924563825779</v>
      </c>
      <c r="V43" s="9" cm="1">
        <f t="array" ref="V43">IFERROR(_xll.BDP($G43&amp;" ISIN","CHG_PCT_1D")/100,"")</f>
        <v>-8.4196654098180768E-3</v>
      </c>
      <c r="W43" s="9" cm="1">
        <f t="array" ref="W43">IFERROR(_xll.BDP($G43&amp;" ISIN","CHG_PCT_5D")/100,"")</f>
        <v>-2.4665130347112155E-2</v>
      </c>
      <c r="X43" s="9" cm="1">
        <f t="array" ref="X43">_xll.BDP($G43&amp;" ISIN","CHG_PCT_1M")/100</f>
        <v>-2.9591946404900961E-2</v>
      </c>
      <c r="Y43" s="9" cm="1">
        <f t="array" ref="Y43">_xll.BDP($G43&amp;" ISIN","CHG_PCT_3M")/100</f>
        <v>2.1803915651288218E-2</v>
      </c>
      <c r="Z43" s="9" cm="1">
        <f t="array" ref="Z43">_xll.BDP($G43&amp;" ISIN","CHG_PCT_6M")/100</f>
        <v>-8.5578286408750259E-2</v>
      </c>
      <c r="AA43" s="9" cm="1">
        <f t="array" ref="AA43">_xll.BDP($G43&amp;" ISIN","CHG_PCT_YTD")/100</f>
        <v>-3.7214757944124564E-2</v>
      </c>
      <c r="AB43" s="9" t="e">
        <f t="shared" si="10"/>
        <v>#VALUE!</v>
      </c>
      <c r="AC43" s="12">
        <f t="shared" ca="1" si="3"/>
        <v>-14118.672899378662</v>
      </c>
      <c r="AD43" s="11" t="str">
        <f>_xll.BDP(AI43,"DS199")</f>
        <v>Government</v>
      </c>
      <c r="AE43" s="13">
        <f>_xll.BDP(AI43,"px_ask")</f>
        <v>27.117999999999999</v>
      </c>
      <c r="AF43" s="12">
        <f>IF(F43="USD",O43,(((_xll.BDP(F43&amp;"USD CURNCY","PX_LAST")))*O43))</f>
        <v>315661.74239999999</v>
      </c>
      <c r="AG43" s="7">
        <f t="shared" si="4"/>
        <v>78737.542319999993</v>
      </c>
      <c r="AH43" s="7">
        <f t="shared" si="5"/>
        <v>66845.870699999999</v>
      </c>
      <c r="AI43" s="11" t="str">
        <f t="shared" si="6"/>
        <v>GB00BMBL1D50 ISIN</v>
      </c>
      <c r="AJ43" s="11" t="e" cm="1">
        <f t="array" ref="AJ43">VLOOKUP(IF(NOT(_xll.BDP($G43&amp;" CORP",$CA$4)="#N/A N/A"),(_xll.BDP($G43&amp;" CORP",$CA$4)),"-"), '[1]Country Codes'!$A$2:$B$253,2,0)</f>
        <v>#N/A</v>
      </c>
      <c r="AK43" s="11" t="str" cm="1">
        <f t="array" ref="AK43">IF(OR(_xll.BDP($AI43,"EX028")= "#N/A N/A", _xll.BDP($AI43,"EX028")="#N/A FIELD NOT APPLICABLE"), " ", _xll.BDP($AI43,"EX028"))</f>
        <v>FixedIncome</v>
      </c>
      <c r="AL43" s="5" t="str">
        <f>(IF(_xll.BDP($AI43&amp;" ISIN","DZ282")="Y","Single line Bonds Cocos","Single line Bonds ex Cocos"))</f>
        <v>Single line Bonds ex Cocos</v>
      </c>
      <c r="AM43" s="6">
        <f>(IF(_xll.BDP($G43&amp;" ISIN","SP153")="#n/a n/a"," ",_xll.BDP($G43&amp;" ISIN","SP153")))</f>
        <v>33.543213104092565</v>
      </c>
      <c r="AN43" s="14">
        <f t="shared" ca="1" si="7"/>
        <v>45755</v>
      </c>
      <c r="AO43" s="7">
        <f>(((_xll.BDP(AI43,"DS032"))/360)*I43)*O43</f>
        <v>579.93758333333335</v>
      </c>
      <c r="AP43" s="7">
        <f>IF(F43="USD",AO43,(((_xll.BDP(F43&amp;"USD CURNCY","PX_LAST")))*AO43))</f>
        <v>740.92825646666677</v>
      </c>
      <c r="AQ43" s="9" t="e">
        <f>S43/#REF!</f>
        <v>#REF!</v>
      </c>
      <c r="AR43" s="7">
        <f t="shared" si="8"/>
        <v>85402.284406320003</v>
      </c>
      <c r="AS43" s="13">
        <f>IF((TEXT(_xll.BDP(AI43,"MATURITY"),"DD/MM/YYYY")="#N/A Field Not Applicable"),"Perp",_xll.BDP(AI43,"DS252"))</f>
        <v>36.539356605065024</v>
      </c>
      <c r="AT43" s="5" t="str">
        <f>(IF(_xll.BDP($AI43&amp;" ISIN","DT247")="Y","Yes","No"))</f>
        <v>No</v>
      </c>
      <c r="AU43" s="5" t="str">
        <f>PROPER(IF(OR(_xll.BDP($AI43,"CPN_TYP")="#n/a N/A",_xll.BDP($AI43,"CPN_TYP")= "#N/A FIELD NOT APPLICABLE"), " ", _xll.BDP($AI43,"CPN_TYP")))</f>
        <v>Fixed</v>
      </c>
      <c r="BG43" s="27" t="str">
        <f t="shared" si="9"/>
        <v>GB00BMBL1D50</v>
      </c>
      <c r="BH43" s="27">
        <v>0.51580000000000004</v>
      </c>
      <c r="BI43" s="28" t="s">
        <v>60</v>
      </c>
      <c r="BJ43" s="36">
        <v>45510</v>
      </c>
      <c r="BK43" s="30"/>
    </row>
    <row r="44" spans="1:63" s="15" customFormat="1" ht="14.45" customHeight="1" x14ac:dyDescent="0.25">
      <c r="A44" s="16" t="s">
        <v>137</v>
      </c>
      <c r="B44" s="16" t="s">
        <v>69</v>
      </c>
      <c r="C44" s="16" t="s">
        <v>70</v>
      </c>
      <c r="D44" s="16" t="s">
        <v>49</v>
      </c>
      <c r="E44" s="11" t="str">
        <f>_xll.BDP(AI44,"ds520")</f>
        <v>United Kingdom Gilt</v>
      </c>
      <c r="F44" s="11" t="str">
        <f>_xll.BDP(AI44,"crncy")</f>
        <v>GBP</v>
      </c>
      <c r="G44" s="34" t="s">
        <v>121</v>
      </c>
      <c r="H44" s="11" t="str">
        <f>IF(_xll.BDP(AI44,"RTG_MOODY")="#N/A N/A","N/A",_xll.BDP(AI44,"RTG_MOODY"))&amp;","&amp;IF(_xll.BDP(AI44,"RTG_FITCH")="#N/A N/A","N/A",_xll.BDP(AI44,"RTG_FITCH"))&amp;","&amp;IF(_xll.BDP(AI44,"RTG_SP")="#N/A N/A","N/A",_xll.BDP(AI44,"RTG_SP"))</f>
        <v>Aa3u,AA-u,N/A</v>
      </c>
      <c r="I44" s="5">
        <f>_xll.BDP(AI44,"cpn")/100</f>
        <v>5.0000000000000001E-3</v>
      </c>
      <c r="J44" s="5">
        <f ca="1">_xll.BDP($G44&amp;" isin","YAS_BOND_YLD", "YAS_YLD_FLAG=15", "user_local_trade_date",AN44,"Yas_bond_px",$Q44)/100</f>
        <v>4.6937600000000003E-2</v>
      </c>
      <c r="K44" s="11" t="str">
        <f>_xll.BDP(AI44,"PAYMENT_RANK")</f>
        <v>Unsecured</v>
      </c>
      <c r="L44" s="11" t="str">
        <f>IF((TEXT(_xll.BDP(AI44,"MATURITY"),"DD/MM/YYYY")="#N/A Field Not Applicable"),"Perp",TEXT(_xll.BDP(AI44,"MATURITY"),"DD/MM/YYYY"))</f>
        <v>22/10/2061</v>
      </c>
      <c r="M44" s="6">
        <f>(IF(_xll.BDP($AI44&amp;" ISIN","DU003")="#n/a n/a"," ",_xll.BDP($AI44&amp;" ISIN","DU003")))</f>
        <v>28.918038542490766</v>
      </c>
      <c r="N44" s="11" t="str">
        <f>IF(_xll.BDP(AI44,"CALLABLE")="Y",_xll.BDP(AI44,"NXT_CALL_DT")," ")</f>
        <v xml:space="preserve"> </v>
      </c>
      <c r="O44" s="35">
        <v>345656</v>
      </c>
      <c r="P44" s="34">
        <v>31.674800000000001</v>
      </c>
      <c r="Q44" s="13">
        <f>_xll.BDP(AI44,"px_bid")</f>
        <v>27.055</v>
      </c>
      <c r="R44" s="7">
        <f>IF(F44="USD",AG44,(((_xll.BDP(F44&amp;"USD CURNCY","PX_LAST")))*AG44))</f>
        <v>139879.11772858881</v>
      </c>
      <c r="S44" s="7">
        <f>IF(F44="USD",AH44,(((_xll.BDP(F44&amp;"USD CURNCY","PX_LAST")))*AH44))+AP44</f>
        <v>120514.17112350224</v>
      </c>
      <c r="T44" s="8">
        <f t="shared" si="0"/>
        <v>-20401.503658508809</v>
      </c>
      <c r="U44" s="9">
        <f t="shared" si="1"/>
        <v>-0.14585096038491172</v>
      </c>
      <c r="V44" s="9" cm="1">
        <f t="array" ref="V44">IFERROR(_xll.BDP($G44&amp;" ISIN","CHG_PCT_1D")/100,"")</f>
        <v>-8.4196654098180768E-3</v>
      </c>
      <c r="W44" s="9" cm="1">
        <f t="array" ref="W44">IFERROR(_xll.BDP($G44&amp;" ISIN","CHG_PCT_5D")/100,"")</f>
        <v>-2.4665130347112155E-2</v>
      </c>
      <c r="X44" s="9" cm="1">
        <f t="array" ref="X44">_xll.BDP($G44&amp;" ISIN","CHG_PCT_1M")/100</f>
        <v>-2.9591946404900961E-2</v>
      </c>
      <c r="Y44" s="9" cm="1">
        <f t="array" ref="Y44">_xll.BDP($G44&amp;" ISIN","CHG_PCT_3M")/100</f>
        <v>2.1803915651288218E-2</v>
      </c>
      <c r="Z44" s="9" cm="1">
        <f t="array" ref="Z44">_xll.BDP($G44&amp;" ISIN","CHG_PCT_6M")/100</f>
        <v>-8.5578286408750259E-2</v>
      </c>
      <c r="AA44" s="9" cm="1">
        <f t="array" ref="AA44">_xll.BDP($G44&amp;" ISIN","CHG_PCT_YTD")/100</f>
        <v>-3.7214757944124564E-2</v>
      </c>
      <c r="AB44" s="9" t="e">
        <f t="shared" si="10"/>
        <v>#VALUE!</v>
      </c>
      <c r="AC44" s="12">
        <f t="shared" ca="1" si="3"/>
        <v>-18892.669131042141</v>
      </c>
      <c r="AD44" s="11" t="str">
        <f>_xll.BDP(AI44,"DS199")</f>
        <v>Government</v>
      </c>
      <c r="AE44" s="13">
        <f>_xll.BDP(AI44,"px_ask")</f>
        <v>27.117999999999999</v>
      </c>
      <c r="AF44" s="12">
        <f>IF(F44="USD",O44,(((_xll.BDP(F44&amp;"USD CURNCY","PX_LAST")))*O44))</f>
        <v>441610.10560000001</v>
      </c>
      <c r="AG44" s="7">
        <f t="shared" si="4"/>
        <v>109485.84668800001</v>
      </c>
      <c r="AH44" s="7">
        <f t="shared" si="5"/>
        <v>93517.230800000005</v>
      </c>
      <c r="AI44" s="11" t="str">
        <f t="shared" si="6"/>
        <v>GB00BMBL1D50 ISIN</v>
      </c>
      <c r="AJ44" s="11" t="e" cm="1">
        <f t="array" ref="AJ44">VLOOKUP(IF(NOT(_xll.BDP($G44&amp;" CORP",$CA$4)="#N/A N/A"),(_xll.BDP($G44&amp;" CORP",$CA$4)),"-"), '[1]Country Codes'!$A$2:$B$253,2,0)</f>
        <v>#N/A</v>
      </c>
      <c r="AK44" s="11" t="str" cm="1">
        <f t="array" ref="AK44">IF(OR(_xll.BDP($AI44,"EX028")= "#N/A N/A", _xll.BDP($AI44,"EX028")="#N/A FIELD NOT APPLICABLE"), " ", _xll.BDP($AI44,"EX028"))</f>
        <v>FixedIncome</v>
      </c>
      <c r="AL44" s="5" t="str">
        <f>(IF(_xll.BDP($AI44&amp;" ISIN","DZ282")="Y","Single line Bonds Cocos","Single line Bonds ex Cocos"))</f>
        <v>Single line Bonds ex Cocos</v>
      </c>
      <c r="AM44" s="6">
        <f>(IF(_xll.BDP($G44&amp;" ISIN","SP153")="#n/a n/a"," ",_xll.BDP($G44&amp;" ISIN","SP153")))</f>
        <v>33.543213104092565</v>
      </c>
      <c r="AN44" s="14">
        <f t="shared" ca="1" si="7"/>
        <v>45755</v>
      </c>
      <c r="AO44" s="7">
        <f>(((_xll.BDP(AI44,"DS032"))/360)*I44)*O44</f>
        <v>811.33144444444451</v>
      </c>
      <c r="AP44" s="7">
        <f>IF(F44="USD",AO44,(((_xll.BDP(F44&amp;"USD CURNCY","PX_LAST")))*AO44))</f>
        <v>1036.5570534222225</v>
      </c>
      <c r="AQ44" s="9" t="e">
        <f>S44/$S$141</f>
        <v>#DIV/0!</v>
      </c>
      <c r="AR44" s="7">
        <f t="shared" si="8"/>
        <v>119477.61407008002</v>
      </c>
      <c r="AS44" s="13">
        <f>IF((TEXT(_xll.BDP(AI44,"MATURITY"),"DD/MM/YYYY")="#N/A Field Not Applicable"),"Perp",_xll.BDP(AI44,"DS252"))</f>
        <v>36.539356605065024</v>
      </c>
      <c r="AT44" s="5" t="str">
        <f>(IF(_xll.BDP($AI44&amp;" ISIN","DT247")="Y","Yes","No"))</f>
        <v>No</v>
      </c>
      <c r="AU44" s="5" t="str">
        <f>PROPER(IF(OR(_xll.BDP($AI44,"CPN_TYP")="#n/a N/A",_xll.BDP($AI44,"CPN_TYP")= "#N/A FIELD NOT APPLICABLE"), " ", _xll.BDP($AI44,"CPN_TYP")))</f>
        <v>Fixed</v>
      </c>
      <c r="BG44" s="27" t="str">
        <f t="shared" si="9"/>
        <v>GB00BMBL1D50</v>
      </c>
      <c r="BH44" s="27">
        <v>0.72</v>
      </c>
      <c r="BI44" s="28">
        <v>4</v>
      </c>
      <c r="BJ44" s="36">
        <v>45509</v>
      </c>
      <c r="BK44" s="30">
        <v>1</v>
      </c>
    </row>
    <row r="45" spans="1:63" s="15" customFormat="1" ht="14.45" customHeight="1" x14ac:dyDescent="0.25">
      <c r="A45" s="16" t="s">
        <v>137</v>
      </c>
      <c r="B45" s="16" t="s">
        <v>79</v>
      </c>
      <c r="C45" s="16" t="s">
        <v>80</v>
      </c>
      <c r="D45" s="16" t="s">
        <v>49</v>
      </c>
      <c r="E45" s="11" t="str">
        <f>_xll.BDP(AI45,"ds520")</f>
        <v>United Kingdom Gilt</v>
      </c>
      <c r="F45" s="11" t="str">
        <f>_xll.BDP(AI45,"crncy")</f>
        <v>GBP</v>
      </c>
      <c r="G45" s="34" t="s">
        <v>121</v>
      </c>
      <c r="H45" s="11" t="str">
        <f>IF(_xll.BDP(AI45,"RTG_MOODY")="#N/A N/A","N/A",_xll.BDP(AI45,"RTG_MOODY"))&amp;","&amp;IF(_xll.BDP(AI45,"RTG_FITCH")="#N/A N/A","N/A",_xll.BDP(AI45,"RTG_FITCH"))&amp;","&amp;IF(_xll.BDP(AI45,"RTG_SP")="#N/A N/A","N/A",_xll.BDP(AI45,"RTG_SP"))</f>
        <v>Aa3u,AA-u,N/A</v>
      </c>
      <c r="I45" s="5">
        <f>_xll.BDP(AI45,"cpn")/100</f>
        <v>5.0000000000000001E-3</v>
      </c>
      <c r="J45" s="5">
        <f ca="1">_xll.BDP($G45&amp;" isin","YAS_BOND_YLD", "YAS_YLD_FLAG=15", "user_local_trade_date",AN45,"Yas_bond_px",$Q45)/100</f>
        <v>4.6937600000000003E-2</v>
      </c>
      <c r="K45" s="11" t="str">
        <f>_xll.BDP(AI45,"PAYMENT_RANK")</f>
        <v>Unsecured</v>
      </c>
      <c r="L45" s="11" t="str">
        <f>IF((TEXT(_xll.BDP(AI45,"MATURITY"),"DD/MM/YYYY")="#N/A Field Not Applicable"),"Perp",TEXT(_xll.BDP(AI45,"MATURITY"),"DD/MM/YYYY"))</f>
        <v>22/10/2061</v>
      </c>
      <c r="M45" s="6">
        <f>(IF(_xll.BDP($AI45&amp;" ISIN","DU003")="#n/a n/a"," ",_xll.BDP($AI45&amp;" ISIN","DU003")))</f>
        <v>28.918038542490766</v>
      </c>
      <c r="N45" s="11" t="str">
        <f>IF(_xll.BDP(AI45,"CALLABLE")="Y",_xll.BDP(AI45,"NXT_CALL_DT")," ")</f>
        <v xml:space="preserve"> </v>
      </c>
      <c r="O45" s="35">
        <v>172877</v>
      </c>
      <c r="P45" s="34">
        <v>31.665959999999998</v>
      </c>
      <c r="Q45" s="13">
        <f>_xll.BDP(AI45,"px_bid")</f>
        <v>27.055</v>
      </c>
      <c r="R45" s="7">
        <f>IF(F45="USD",AG45,(((_xll.BDP(F45&amp;"USD CURNCY","PX_LAST")))*AG45))</f>
        <v>69939.863348569925</v>
      </c>
      <c r="S45" s="7">
        <f>IF(F45="USD",AH45,(((_xll.BDP(F45&amp;"USD CURNCY","PX_LAST")))*AH45))+AP45</f>
        <v>60274.169582815564</v>
      </c>
      <c r="T45" s="8">
        <f t="shared" si="0"/>
        <v>-10184.119234209918</v>
      </c>
      <c r="U45" s="9">
        <f t="shared" si="1"/>
        <v>-0.14561251261607097</v>
      </c>
      <c r="V45" s="9" cm="1">
        <f t="array" ref="V45">IFERROR(_xll.BDP($G45&amp;" ISIN","CHG_PCT_1D")/100,"")</f>
        <v>-8.4196654098180768E-3</v>
      </c>
      <c r="W45" s="9" cm="1">
        <f t="array" ref="W45">IFERROR(_xll.BDP($G45&amp;" ISIN","CHG_PCT_5D")/100,"")</f>
        <v>-2.4665130347112155E-2</v>
      </c>
      <c r="X45" s="9" cm="1">
        <f t="array" ref="X45">_xll.BDP($G45&amp;" ISIN","CHG_PCT_1M")/100</f>
        <v>-2.9591946404900961E-2</v>
      </c>
      <c r="Y45" s="9" cm="1">
        <f t="array" ref="Y45">_xll.BDP($G45&amp;" ISIN","CHG_PCT_3M")/100</f>
        <v>2.1803915651288218E-2</v>
      </c>
      <c r="Z45" s="9" cm="1">
        <f t="array" ref="Z45">_xll.BDP($G45&amp;" ISIN","CHG_PCT_6M")/100</f>
        <v>-8.5578286408750259E-2</v>
      </c>
      <c r="AA45" s="9" cm="1">
        <f t="array" ref="AA45">_xll.BDP($G45&amp;" ISIN","CHG_PCT_YTD")/100</f>
        <v>-3.7214757944124564E-2</v>
      </c>
      <c r="AB45" s="9" t="e">
        <f t="shared" si="10"/>
        <v>#VALUE!</v>
      </c>
      <c r="AC45" s="12">
        <f t="shared" ca="1" si="3"/>
        <v>-9429.48807894325</v>
      </c>
      <c r="AD45" s="11" t="str">
        <f>_xll.BDP(AI45,"DS199")</f>
        <v>Government</v>
      </c>
      <c r="AE45" s="13">
        <f>_xll.BDP(AI45,"px_ask")</f>
        <v>27.117999999999999</v>
      </c>
      <c r="AF45" s="12">
        <f>IF(F45="USD",O45,(((_xll.BDP(F45&amp;"USD CURNCY","PX_LAST")))*O45))</f>
        <v>220867.65520000001</v>
      </c>
      <c r="AG45" s="7">
        <f t="shared" si="4"/>
        <v>54743.161669199995</v>
      </c>
      <c r="AH45" s="7">
        <f t="shared" si="5"/>
        <v>46771.872350000005</v>
      </c>
      <c r="AI45" s="11" t="str">
        <f t="shared" si="6"/>
        <v>GB00BMBL1D50 ISIN</v>
      </c>
      <c r="AJ45" s="11" t="e" cm="1">
        <f t="array" ref="AJ45">VLOOKUP(IF(NOT(_xll.BDP($G45&amp;" CORP",$CA$4)="#N/A N/A"),(_xll.BDP($G45&amp;" CORP",$CA$4)),"-"), '[1]Country Codes'!$A$2:$B$253,2,0)</f>
        <v>#N/A</v>
      </c>
      <c r="AK45" s="11" t="str" cm="1">
        <f t="array" ref="AK45">IF(OR(_xll.BDP($AI45,"EX028")= "#N/A N/A", _xll.BDP($AI45,"EX028")="#N/A FIELD NOT APPLICABLE"), " ", _xll.BDP($AI45,"EX028"))</f>
        <v>FixedIncome</v>
      </c>
      <c r="AL45" s="5" t="str">
        <f>(IF(_xll.BDP($AI45&amp;" ISIN","DZ282")="Y","Single line Bonds Cocos","Single line Bonds ex Cocos"))</f>
        <v>Single line Bonds ex Cocos</v>
      </c>
      <c r="AM45" s="6">
        <f>(IF(_xll.BDP($G45&amp;" ISIN","SP153")="#n/a n/a"," ",_xll.BDP($G45&amp;" ISIN","SP153")))</f>
        <v>33.543213104092565</v>
      </c>
      <c r="AN45" s="14">
        <f t="shared" ca="1" si="7"/>
        <v>45755</v>
      </c>
      <c r="AO45" s="7">
        <f>(((_xll.BDP(AI45,"DS032"))/360)*I45)*O45</f>
        <v>405.78073611111114</v>
      </c>
      <c r="AP45" s="7">
        <f>IF(F45="USD",AO45,(((_xll.BDP(F45&amp;"USD CURNCY","PX_LAST")))*AO45))</f>
        <v>518.42546845555557</v>
      </c>
      <c r="AQ45" s="9" t="e">
        <f>S45/$S$137</f>
        <v>#DIV/0!</v>
      </c>
      <c r="AR45" s="7">
        <f t="shared" si="8"/>
        <v>59755.744114360008</v>
      </c>
      <c r="AS45" s="13">
        <f>IF((TEXT(_xll.BDP(AI45,"MATURITY"),"DD/MM/YYYY")="#N/A Field Not Applicable"),"Perp",_xll.BDP(AI45,"DS252"))</f>
        <v>36.539356605065024</v>
      </c>
      <c r="AT45" s="5" t="str">
        <f>(IF(_xll.BDP($AI45&amp;" ISIN","DT247")="Y","Yes","No"))</f>
        <v>No</v>
      </c>
      <c r="AU45" s="5" t="str">
        <f>PROPER(IF(OR(_xll.BDP($AI45,"CPN_TYP")="#n/a N/A",_xll.BDP($AI45,"CPN_TYP")= "#N/A FIELD NOT APPLICABLE"), " ", _xll.BDP($AI45,"CPN_TYP")))</f>
        <v>Fixed</v>
      </c>
      <c r="BG45" s="27" t="str">
        <f t="shared" si="9"/>
        <v>GB00BMBL1D50</v>
      </c>
      <c r="BH45" s="27">
        <v>0.82</v>
      </c>
      <c r="BI45" s="28">
        <v>2</v>
      </c>
      <c r="BJ45" s="36">
        <v>45509</v>
      </c>
      <c r="BK45" s="30">
        <v>1</v>
      </c>
    </row>
    <row r="46" spans="1:63" s="15" customFormat="1" ht="14.45" customHeight="1" x14ac:dyDescent="0.25">
      <c r="A46" s="16" t="s">
        <v>137</v>
      </c>
      <c r="B46" s="16" t="s">
        <v>82</v>
      </c>
      <c r="C46" s="16">
        <v>2620061.0010000002</v>
      </c>
      <c r="D46" s="16" t="s">
        <v>49</v>
      </c>
      <c r="E46" s="11" t="str">
        <f>_xll.BDP(AI46,"ds520")</f>
        <v>United Kingdom Gilt</v>
      </c>
      <c r="F46" s="11" t="str">
        <f>_xll.BDP(AI46,"crncy")</f>
        <v>GBP</v>
      </c>
      <c r="G46" s="34" t="s">
        <v>121</v>
      </c>
      <c r="H46" s="11" t="str">
        <f>IF(_xll.BDP(AI46,"RTG_MOODY")="#N/A N/A","N/A",_xll.BDP(AI46,"RTG_MOODY"))&amp;","&amp;IF(_xll.BDP(AI46,"RTG_FITCH")="#N/A N/A","N/A",_xll.BDP(AI46,"RTG_FITCH"))&amp;","&amp;IF(_xll.BDP(AI46,"RTG_SP")="#N/A N/A","N/A",_xll.BDP(AI46,"RTG_SP"))</f>
        <v>Aa3u,AA-u,N/A</v>
      </c>
      <c r="I46" s="5">
        <f>_xll.BDP(AI46,"cpn")/100</f>
        <v>5.0000000000000001E-3</v>
      </c>
      <c r="J46" s="5">
        <f ca="1">_xll.BDP($G46&amp;" isin","YAS_BOND_YLD", "YAS_YLD_FLAG=15", "user_local_trade_date",AN46,"Yas_bond_px",$Q46)/100</f>
        <v>4.6937600000000003E-2</v>
      </c>
      <c r="K46" s="11" t="str">
        <f>_xll.BDP(AI46,"PAYMENT_RANK")</f>
        <v>Unsecured</v>
      </c>
      <c r="L46" s="11" t="str">
        <f>IF((TEXT(_xll.BDP(AI46,"MATURITY"),"DD/MM/YYYY")="#N/A Field Not Applicable"),"Perp",TEXT(_xll.BDP(AI46,"MATURITY"),"DD/MM/YYYY"))</f>
        <v>22/10/2061</v>
      </c>
      <c r="M46" s="6">
        <f>(IF(_xll.BDP($AI46&amp;" ISIN","DU003")="#n/a n/a"," ",_xll.BDP($AI46&amp;" ISIN","DU003")))</f>
        <v>28.918038542490766</v>
      </c>
      <c r="N46" s="11" t="str">
        <f>IF(_xll.BDP(AI46,"CALLABLE")="Y",_xll.BDP(AI46,"NXT_CALL_DT")," ")</f>
        <v xml:space="preserve"> </v>
      </c>
      <c r="O46" s="35">
        <v>191826</v>
      </c>
      <c r="P46" s="34">
        <v>31.67953</v>
      </c>
      <c r="Q46" s="13">
        <f>_xll.BDP(AI46,"px_bid")</f>
        <v>27.055</v>
      </c>
      <c r="R46" s="7">
        <f>IF(F46="USD",AG46,(((_xll.BDP(F46&amp;"USD CURNCY","PX_LAST")))*AG46))</f>
        <v>77639.209298261296</v>
      </c>
      <c r="S46" s="7">
        <f>IF(F46="USD",AH46,(((_xll.BDP(F46&amp;"USD CURNCY","PX_LAST")))*AH46))+AP46</f>
        <v>66872.924449712867</v>
      </c>
      <c r="T46" s="8">
        <f t="shared" si="0"/>
        <v>-11333.654652581283</v>
      </c>
      <c r="U46" s="9">
        <f t="shared" si="1"/>
        <v>-0.14597849147383185</v>
      </c>
      <c r="V46" s="9" cm="1">
        <f t="array" ref="V46">IFERROR(_xll.BDP($G46&amp;" ISIN","CHG_PCT_1D")/100,"")</f>
        <v>-8.4196654098180768E-3</v>
      </c>
      <c r="W46" s="9" cm="1">
        <f t="array" ref="W46">IFERROR(_xll.BDP($G46&amp;" ISIN","CHG_PCT_5D")/100,"")</f>
        <v>-2.4665130347112155E-2</v>
      </c>
      <c r="X46" s="9" cm="1">
        <f t="array" ref="X46">_xll.BDP($G46&amp;" ISIN","CHG_PCT_1M")/100</f>
        <v>-2.9591946404900961E-2</v>
      </c>
      <c r="Y46" s="9" cm="1">
        <f t="array" ref="Y46">_xll.BDP($G46&amp;" ISIN","CHG_PCT_3M")/100</f>
        <v>2.1803915651288218E-2</v>
      </c>
      <c r="Z46" s="9" cm="1">
        <f t="array" ref="Z46">_xll.BDP($G46&amp;" ISIN","CHG_PCT_6M")/100</f>
        <v>-8.5578286408750259E-2</v>
      </c>
      <c r="AA46" s="9" cm="1">
        <f t="array" ref="AA46">_xll.BDP($G46&amp;" ISIN","CHG_PCT_YTD")/100</f>
        <v>-3.7214757944124564E-2</v>
      </c>
      <c r="AB46" s="9" t="e">
        <f t="shared" si="10"/>
        <v>#VALUE!</v>
      </c>
      <c r="AC46" s="12">
        <f t="shared" ca="1" si="3"/>
        <v>-10496.308585781282</v>
      </c>
      <c r="AD46" s="11" t="str">
        <f>_xll.BDP(AI46,"DS199")</f>
        <v>Government</v>
      </c>
      <c r="AE46" s="13">
        <f>_xll.BDP(AI46,"px_ask")</f>
        <v>27.117999999999999</v>
      </c>
      <c r="AF46" s="12">
        <f>IF(F46="USD",O46,(((_xll.BDP(F46&amp;"USD CURNCY","PX_LAST")))*O46))</f>
        <v>245076.89760000003</v>
      </c>
      <c r="AG46" s="7">
        <f t="shared" si="4"/>
        <v>60769.575217800004</v>
      </c>
      <c r="AH46" s="7">
        <f t="shared" si="5"/>
        <v>51898.524299999997</v>
      </c>
      <c r="AI46" s="11" t="str">
        <f t="shared" si="6"/>
        <v>GB00BMBL1D50 ISIN</v>
      </c>
      <c r="AJ46" s="11" t="e" cm="1">
        <f t="array" ref="AJ46">VLOOKUP(IF(NOT(_xll.BDP($G46&amp;" CORP",$CA$4)="#N/A N/A"),(_xll.BDP($G46&amp;" CORP",$CA$4)),"-"), '[1]Country Codes'!$A$2:$B$253,2,0)</f>
        <v>#N/A</v>
      </c>
      <c r="AK46" s="11" t="str" cm="1">
        <f t="array" ref="AK46">IF(OR(_xll.BDP($AI46,"EX028")= "#N/A N/A", _xll.BDP($AI46,"EX028")="#N/A FIELD NOT APPLICABLE"), " ", _xll.BDP($AI46,"EX028"))</f>
        <v>FixedIncome</v>
      </c>
      <c r="AL46" s="5" t="str">
        <f>(IF(_xll.BDP($AI46&amp;" ISIN","DZ282")="Y","Single line Bonds Cocos","Single line Bonds ex Cocos"))</f>
        <v>Single line Bonds ex Cocos</v>
      </c>
      <c r="AM46" s="6">
        <f>(IF(_xll.BDP($G46&amp;" ISIN","SP153")="#n/a n/a"," ",_xll.BDP($G46&amp;" ISIN","SP153")))</f>
        <v>33.543213104092565</v>
      </c>
      <c r="AN46" s="14">
        <f t="shared" ca="1" si="7"/>
        <v>45755</v>
      </c>
      <c r="AO46" s="7">
        <f>(((_xll.BDP(AI46,"DS032"))/365)*I46)*O46</f>
        <v>444.09032876712325</v>
      </c>
      <c r="AP46" s="7">
        <f>IF(F46="USD",AO46,(((_xll.BDP(F46&amp;"USD CURNCY","PX_LAST")))*AO46))</f>
        <v>567.36980403287669</v>
      </c>
      <c r="AQ46" s="9" t="e">
        <f>S46/$S$140</f>
        <v>#DIV/0!</v>
      </c>
      <c r="AR46" s="7">
        <f t="shared" si="8"/>
        <v>66305.554645679993</v>
      </c>
      <c r="AS46" s="13">
        <f>IF((TEXT(_xll.BDP(AI46,"MATURITY"),"DD/MM/YYYY")="#N/A Field Not Applicable"),"Perp",_xll.BDP(AI46,"DS252"))</f>
        <v>36.539356605065024</v>
      </c>
      <c r="AT46" s="5" t="str">
        <f>(IF(_xll.BDP($AI46&amp;" ISIN","DT247")="Y","Yes","No"))</f>
        <v>No</v>
      </c>
      <c r="AU46" s="5" t="str">
        <f>PROPER(IF(OR(_xll.BDP($AI46,"CPN_TYP")="#n/a N/A",_xll.BDP($AI46,"CPN_TYP")= "#N/A FIELD NOT APPLICABLE"), " ", _xll.BDP($AI46,"CPN_TYP")))</f>
        <v>Fixed</v>
      </c>
      <c r="BG46" s="27" t="str">
        <f t="shared" si="9"/>
        <v>GB00BMBL1D50</v>
      </c>
      <c r="BH46" s="27">
        <v>0.82</v>
      </c>
      <c r="BI46" s="28">
        <v>2</v>
      </c>
      <c r="BJ46" s="36">
        <v>45509</v>
      </c>
      <c r="BK46" s="30">
        <v>1</v>
      </c>
    </row>
    <row r="47" spans="1:63" s="15" customFormat="1" ht="14.45" customHeight="1" x14ac:dyDescent="0.25">
      <c r="A47" s="16" t="s">
        <v>137</v>
      </c>
      <c r="B47" s="16" t="s">
        <v>85</v>
      </c>
      <c r="C47" s="16">
        <v>2620058.003</v>
      </c>
      <c r="D47" s="16" t="s">
        <v>49</v>
      </c>
      <c r="E47" s="11" t="str">
        <f>_xll.BDP(AI47,"ds520")</f>
        <v>United Kingdom Gilt</v>
      </c>
      <c r="F47" s="11" t="str">
        <f>_xll.BDP(AI47,"crncy")</f>
        <v>GBP</v>
      </c>
      <c r="G47" s="34" t="s">
        <v>121</v>
      </c>
      <c r="H47" s="11" t="str">
        <f>IF(_xll.BDP(AI47,"RTG_MOODY")="#N/A N/A","N/A",_xll.BDP(AI47,"RTG_MOODY"))&amp;","&amp;IF(_xll.BDP(AI47,"RTG_FITCH")="#N/A N/A","N/A",_xll.BDP(AI47,"RTG_FITCH"))&amp;","&amp;IF(_xll.BDP(AI47,"RTG_SP")="#N/A N/A","N/A",_xll.BDP(AI47,"RTG_SP"))</f>
        <v>Aa3u,AA-u,N/A</v>
      </c>
      <c r="I47" s="5">
        <f>_xll.BDP(AI47,"cpn")/100</f>
        <v>5.0000000000000001E-3</v>
      </c>
      <c r="J47" s="5">
        <f ca="1">_xll.BDP($G47&amp;" isin","YAS_BOND_YLD", "YAS_YLD_FLAG=15", "user_local_trade_date",AN47,"Yas_bond_px",$Q47)/100</f>
        <v>4.6937600000000003E-2</v>
      </c>
      <c r="K47" s="11" t="str">
        <f>_xll.BDP(AI47,"PAYMENT_RANK")</f>
        <v>Unsecured</v>
      </c>
      <c r="L47" s="11" t="str">
        <f>IF((TEXT(_xll.BDP(AI47,"MATURITY"),"DD/MM/YYYY")="#N/A Field Not Applicable"),"Perp",TEXT(_xll.BDP(AI47,"MATURITY"),"DD/MM/YYYY"))</f>
        <v>22/10/2061</v>
      </c>
      <c r="M47" s="6">
        <f>(IF(_xll.BDP($AI47&amp;" ISIN","DU003")="#n/a n/a"," ",_xll.BDP($AI47&amp;" ISIN","DU003")))</f>
        <v>28.918038542490766</v>
      </c>
      <c r="N47" s="11" t="str">
        <f>IF(_xll.BDP(AI47,"CALLABLE")="Y",_xll.BDP(AI47,"NXT_CALL_DT")," ")</f>
        <v xml:space="preserve"> </v>
      </c>
      <c r="O47" s="35">
        <v>130010</v>
      </c>
      <c r="P47" s="34">
        <v>31.676690000000001</v>
      </c>
      <c r="Q47" s="13">
        <f>_xll.BDP(AI47,"px_bid")</f>
        <v>27.055</v>
      </c>
      <c r="R47" s="7">
        <f>IF(F47="USD",AG47,(((_xll.BDP(F47&amp;"USD CURNCY","PX_LAST")))*AG47))</f>
        <v>52615.227901114406</v>
      </c>
      <c r="S47" s="7">
        <f>IF(F47="USD",AH47,(((_xll.BDP(F47&amp;"USD CURNCY","PX_LAST")))*AH47))+AP47</f>
        <v>45323.09962000548</v>
      </c>
      <c r="T47" s="8">
        <f t="shared" si="0"/>
        <v>-7676.6629543144027</v>
      </c>
      <c r="U47" s="9">
        <f t="shared" si="1"/>
        <v>-0.145901923464857</v>
      </c>
      <c r="V47" s="9" cm="1">
        <f t="array" ref="V47">IFERROR(_xll.BDP($G47&amp;" ISIN","CHG_PCT_1D")/100,"")</f>
        <v>-8.4196654098180768E-3</v>
      </c>
      <c r="W47" s="9" cm="1">
        <f t="array" ref="W47">IFERROR(_xll.BDP($G47&amp;" ISIN","CHG_PCT_5D")/100,"")</f>
        <v>-2.4665130347112155E-2</v>
      </c>
      <c r="X47" s="9" cm="1">
        <f t="array" ref="X47">_xll.BDP($G47&amp;" ISIN","CHG_PCT_1M")/100</f>
        <v>-2.9591946404900961E-2</v>
      </c>
      <c r="Y47" s="9" cm="1">
        <f t="array" ref="Y47">_xll.BDP($G47&amp;" ISIN","CHG_PCT_3M")/100</f>
        <v>2.1803915651288218E-2</v>
      </c>
      <c r="Z47" s="9" cm="1">
        <f t="array" ref="Z47">_xll.BDP($G47&amp;" ISIN","CHG_PCT_6M")/100</f>
        <v>-8.5578286408750259E-2</v>
      </c>
      <c r="AA47" s="9" cm="1">
        <f t="array" ref="AA47">_xll.BDP($G47&amp;" ISIN","CHG_PCT_YTD")/100</f>
        <v>-3.7214757944124564E-2</v>
      </c>
      <c r="AB47" s="9" t="e">
        <f t="shared" si="10"/>
        <v>#VALUE!</v>
      </c>
      <c r="AC47" s="12">
        <f t="shared" ca="1" si="3"/>
        <v>-7109.1519696477362</v>
      </c>
      <c r="AD47" s="11" t="str">
        <f>_xll.BDP(AI47,"DS199")</f>
        <v>Government</v>
      </c>
      <c r="AE47" s="13">
        <f>_xll.BDP(AI47,"px_ask")</f>
        <v>27.117999999999999</v>
      </c>
      <c r="AF47" s="12">
        <f>IF(F47="USD",O47,(((_xll.BDP(F47&amp;"USD CURNCY","PX_LAST")))*O47))</f>
        <v>166100.77600000001</v>
      </c>
      <c r="AG47" s="7">
        <f t="shared" si="4"/>
        <v>41182.864669000002</v>
      </c>
      <c r="AH47" s="7">
        <f t="shared" si="5"/>
        <v>35174.205499999996</v>
      </c>
      <c r="AI47" s="11" t="str">
        <f t="shared" si="6"/>
        <v>GB00BMBL1D50 ISIN</v>
      </c>
      <c r="AJ47" s="11" t="e" cm="1">
        <f t="array" ref="AJ47">VLOOKUP(IF(NOT(_xll.BDP($G47&amp;" CORP",$CA$4)="#N/A N/A"),(_xll.BDP($G47&amp;" CORP",$CA$4)),"-"), '[1]Country Codes'!$A$2:$B$253,2,0)</f>
        <v>#N/A</v>
      </c>
      <c r="AK47" s="11" t="str" cm="1">
        <f t="array" ref="AK47">IF(OR(_xll.BDP($AI47,"EX028")= "#N/A N/A", _xll.BDP($AI47,"EX028")="#N/A FIELD NOT APPLICABLE"), " ", _xll.BDP($AI47,"EX028"))</f>
        <v>FixedIncome</v>
      </c>
      <c r="AL47" s="5" t="str">
        <f>(IF(_xll.BDP($AI47&amp;" ISIN","DZ282")="Y","Single line Bonds Cocos","Single line Bonds ex Cocos"))</f>
        <v>Single line Bonds ex Cocos</v>
      </c>
      <c r="AM47" s="6">
        <f>(IF(_xll.BDP($G47&amp;" ISIN","SP153")="#n/a n/a"," ",_xll.BDP($G47&amp;" ISIN","SP153")))</f>
        <v>33.543213104092565</v>
      </c>
      <c r="AN47" s="14">
        <f t="shared" ca="1" si="7"/>
        <v>45755</v>
      </c>
      <c r="AO47" s="7">
        <f>(((_xll.BDP(AI47,"DS032"))/365)*I47)*O47</f>
        <v>300.98205479452054</v>
      </c>
      <c r="AP47" s="7">
        <f>IF(F47="USD",AO47,(((_xll.BDP(F47&amp;"USD CURNCY","PX_LAST")))*AO47))</f>
        <v>384.53467320547946</v>
      </c>
      <c r="AQ47" s="9" t="e">
        <f>S47/$S$136</f>
        <v>#DIV/0!</v>
      </c>
      <c r="AR47" s="7">
        <f t="shared" si="8"/>
        <v>44938.564946799997</v>
      </c>
      <c r="AS47" s="13">
        <f>IF((TEXT(_xll.BDP(AI47,"MATURITY"),"DD/MM/YYYY")="#N/A Field Not Applicable"),"Perp",_xll.BDP(AI47,"DS252"))</f>
        <v>36.539356605065024</v>
      </c>
      <c r="AT47" s="5" t="str">
        <f>(IF(_xll.BDP($AI47&amp;" ISIN","DT247")="Y","Yes","No"))</f>
        <v>No</v>
      </c>
      <c r="AU47" s="5" t="str">
        <f>PROPER(IF(OR(_xll.BDP($AI47,"CPN_TYP")="#n/a N/A",_xll.BDP($AI47,"CPN_TYP")= "#N/A FIELD NOT APPLICABLE"), " ", _xll.BDP($AI47,"CPN_TYP")))</f>
        <v>Fixed</v>
      </c>
      <c r="BG47" s="27" t="str">
        <f t="shared" si="9"/>
        <v>GB00BMBL1D50</v>
      </c>
      <c r="BH47" s="27">
        <v>0.8</v>
      </c>
      <c r="BI47" s="28">
        <v>2</v>
      </c>
      <c r="BJ47" s="36">
        <v>45509</v>
      </c>
      <c r="BK47" s="30">
        <v>1</v>
      </c>
    </row>
    <row r="48" spans="1:63" s="15" customFormat="1" ht="14.45" customHeight="1" x14ac:dyDescent="0.25">
      <c r="A48" s="16" t="s">
        <v>137</v>
      </c>
      <c r="B48" s="16" t="s">
        <v>86</v>
      </c>
      <c r="C48" s="16" t="s">
        <v>87</v>
      </c>
      <c r="D48" s="16" t="s">
        <v>49</v>
      </c>
      <c r="E48" s="11" t="str">
        <f>_xll.BDP(AI48,"ds520")</f>
        <v>United Kingdom Gilt</v>
      </c>
      <c r="F48" s="11" t="str">
        <f>_xll.BDP(AI48,"crncy")</f>
        <v>GBP</v>
      </c>
      <c r="G48" s="34" t="s">
        <v>121</v>
      </c>
      <c r="H48" s="11" t="str">
        <f>IF(_xll.BDP(AI48,"RTG_MOODY")="#N/A N/A","N/A",_xll.BDP(AI48,"RTG_MOODY"))&amp;","&amp;IF(_xll.BDP(AI48,"RTG_FITCH")="#N/A N/A","N/A",_xll.BDP(AI48,"RTG_FITCH"))&amp;","&amp;IF(_xll.BDP(AI48,"RTG_SP")="#N/A N/A","N/A",_xll.BDP(AI48,"RTG_SP"))</f>
        <v>Aa3u,AA-u,N/A</v>
      </c>
      <c r="I48" s="5">
        <f>_xll.BDP(AI48,"cpn")/100</f>
        <v>5.0000000000000001E-3</v>
      </c>
      <c r="J48" s="5">
        <f ca="1">_xll.BDP($G48&amp;" isin","YAS_BOND_YLD", "YAS_YLD_FLAG=15", "user_local_trade_date",AN48,"Yas_bond_px",$Q48)/100</f>
        <v>4.6937600000000003E-2</v>
      </c>
      <c r="K48" s="11" t="str">
        <f>_xll.BDP(AI48,"PAYMENT_RANK")</f>
        <v>Unsecured</v>
      </c>
      <c r="L48" s="11" t="str">
        <f>IF((TEXT(_xll.BDP(AI48,"MATURITY"),"DD/MM/YYYY")="#N/A Field Not Applicable"),"Perp",TEXT(_xll.BDP(AI48,"MATURITY"),"DD/MM/YYYY"))</f>
        <v>22/10/2061</v>
      </c>
      <c r="M48" s="6">
        <f>(IF(_xll.BDP($AI48&amp;" ISIN","DU003")="#n/a n/a"," ",_xll.BDP($AI48&amp;" ISIN","DU003")))</f>
        <v>28.918038542490766</v>
      </c>
      <c r="N48" s="11" t="str">
        <f>IF(_xll.BDP(AI48,"CALLABLE")="Y",_xll.BDP(AI48,"NXT_CALL_DT")," ")</f>
        <v xml:space="preserve"> </v>
      </c>
      <c r="O48" s="35">
        <v>247395</v>
      </c>
      <c r="P48" s="34">
        <v>31.669119999999999</v>
      </c>
      <c r="Q48" s="13">
        <f>_xll.BDP(AI48,"px_bid")</f>
        <v>27.055</v>
      </c>
      <c r="R48" s="7">
        <f>IF(F48="USD",AG48,(((_xll.BDP(F48&amp;"USD CURNCY","PX_LAST")))*AG48))</f>
        <v>100097.1740961024</v>
      </c>
      <c r="S48" s="7">
        <f>IF(F48="USD",AH48,(((_xll.BDP(F48&amp;"USD CURNCY","PX_LAST")))*AH48))+AP48</f>
        <v>86255.13043343334</v>
      </c>
      <c r="T48" s="8">
        <f t="shared" si="0"/>
        <v>-14583.9345375024</v>
      </c>
      <c r="U48" s="9">
        <f t="shared" si="1"/>
        <v>-0.14569776488895175</v>
      </c>
      <c r="V48" s="9" cm="1">
        <f t="array" ref="V48">IFERROR(_xll.BDP($G48&amp;" ISIN","CHG_PCT_1D")/100,"")</f>
        <v>-8.4196654098180768E-3</v>
      </c>
      <c r="W48" s="9" cm="1">
        <f t="array" ref="W48">IFERROR(_xll.BDP($G48&amp;" ISIN","CHG_PCT_5D")/100,"")</f>
        <v>-2.4665130347112155E-2</v>
      </c>
      <c r="X48" s="9" cm="1">
        <f t="array" ref="X48">_xll.BDP($G48&amp;" ISIN","CHG_PCT_1M")/100</f>
        <v>-2.9591946404900961E-2</v>
      </c>
      <c r="Y48" s="9" cm="1">
        <f t="array" ref="Y48">_xll.BDP($G48&amp;" ISIN","CHG_PCT_3M")/100</f>
        <v>2.1803915651288218E-2</v>
      </c>
      <c r="Z48" s="9" cm="1">
        <f t="array" ref="Z48">_xll.BDP($G48&amp;" ISIN","CHG_PCT_6M")/100</f>
        <v>-8.5578286408750259E-2</v>
      </c>
      <c r="AA48" s="9" cm="1">
        <f t="array" ref="AA48">_xll.BDP($G48&amp;" ISIN","CHG_PCT_YTD")/100</f>
        <v>-3.7214757944124564E-2</v>
      </c>
      <c r="AB48" s="9" t="e">
        <f t="shared" si="10"/>
        <v>#VALUE!</v>
      </c>
      <c r="AC48" s="12">
        <f t="shared" ca="1" si="3"/>
        <v>-13504.0223765024</v>
      </c>
      <c r="AD48" s="11" t="str">
        <f>_xll.BDP(AI48,"DS199")</f>
        <v>Government</v>
      </c>
      <c r="AE48" s="13">
        <f>_xll.BDP(AI48,"px_ask")</f>
        <v>27.117999999999999</v>
      </c>
      <c r="AF48" s="12">
        <f>IF(F48="USD",O48,(((_xll.BDP(F48&amp;"USD CURNCY","PX_LAST")))*O48))</f>
        <v>316071.85200000001</v>
      </c>
      <c r="AG48" s="7">
        <f t="shared" si="4"/>
        <v>78347.819424000001</v>
      </c>
      <c r="AH48" s="7">
        <f t="shared" si="5"/>
        <v>66932.717250000002</v>
      </c>
      <c r="AI48" s="11" t="str">
        <f t="shared" si="6"/>
        <v>GB00BMBL1D50 ISIN</v>
      </c>
      <c r="AJ48" s="11" t="e" cm="1">
        <f t="array" ref="AJ48">VLOOKUP(IF(NOT(_xll.BDP($G48&amp;" CORP",$CA$4)="#N/A N/A"),(_xll.BDP($G48&amp;" CORP",$CA$4)),"-"), '[1]Country Codes'!$A$2:$B$253,2,0)</f>
        <v>#N/A</v>
      </c>
      <c r="AK48" s="11" t="str" cm="1">
        <f t="array" ref="AK48">IF(OR(_xll.BDP($AI48,"EX028")= "#N/A N/A", _xll.BDP($AI48,"EX028")="#N/A FIELD NOT APPLICABLE"), " ", _xll.BDP($AI48,"EX028"))</f>
        <v>FixedIncome</v>
      </c>
      <c r="AL48" s="5" t="str">
        <f>(IF(_xll.BDP($AI48&amp;" ISIN","DZ282")="Y","Single line Bonds Cocos","Single line Bonds ex Cocos"))</f>
        <v>Single line Bonds ex Cocos</v>
      </c>
      <c r="AM48" s="6">
        <f>(IF(_xll.BDP($G48&amp;" ISIN","SP153")="#n/a n/a"," ",_xll.BDP($G48&amp;" ISIN","SP153")))</f>
        <v>33.543213104092565</v>
      </c>
      <c r="AN48" s="14">
        <f t="shared" ca="1" si="7"/>
        <v>45755</v>
      </c>
      <c r="AO48" s="7">
        <f>(((_xll.BDP(AI48,"DS032"))/360)*I48)*O48</f>
        <v>580.69104166666671</v>
      </c>
      <c r="AP48" s="7">
        <f>IF(F48="USD",AO48,(((_xll.BDP(F48&amp;"USD CURNCY","PX_LAST")))*AO48))</f>
        <v>741.89087483333344</v>
      </c>
      <c r="AQ48" s="9" t="e">
        <f>S48/$S$141</f>
        <v>#DIV/0!</v>
      </c>
      <c r="AR48" s="7">
        <f t="shared" si="8"/>
        <v>85513.239558600006</v>
      </c>
      <c r="AS48" s="13">
        <f>IF((TEXT(_xll.BDP(AI48,"MATURITY"),"DD/MM/YYYY")="#N/A Field Not Applicable"),"Perp",_xll.BDP(AI48,"DS252"))</f>
        <v>36.539356605065024</v>
      </c>
      <c r="AT48" s="5" t="str">
        <f>(IF(_xll.BDP($AI48&amp;" ISIN","DT247")="Y","Yes","No"))</f>
        <v>No</v>
      </c>
      <c r="AU48" s="5" t="str">
        <f>PROPER(IF(OR(_xll.BDP($AI48,"CPN_TYP")="#n/a N/A",_xll.BDP($AI48,"CPN_TYP")= "#N/A FIELD NOT APPLICABLE"), " ", _xll.BDP($AI48,"CPN_TYP")))</f>
        <v>Fixed</v>
      </c>
      <c r="BG48" s="27" t="str">
        <f t="shared" si="9"/>
        <v>GB00BMBL1D50</v>
      </c>
      <c r="BH48" s="27">
        <v>0.82</v>
      </c>
      <c r="BI48" s="28">
        <v>5</v>
      </c>
      <c r="BJ48" s="36">
        <v>45509</v>
      </c>
      <c r="BK48" s="30">
        <v>1</v>
      </c>
    </row>
  </sheetData>
  <sortState xmlns:xlrd2="http://schemas.microsoft.com/office/spreadsheetml/2017/richdata2" ref="A2:BK48">
    <sortCondition ref="E2:E48"/>
    <sortCondition ref="G2:G48"/>
  </sortState>
  <conditionalFormatting sqref="L1:L48 N1:N48">
    <cfRule type="timePeriod" dxfId="25" priority="7" timePeriod="thisMonth">
      <formula>AND(MONTH(L1)=MONTH(TODAY()),YEAR(L1)=YEAR(TODAY()))</formula>
    </cfRule>
  </conditionalFormatting>
  <conditionalFormatting sqref="U2:U48">
    <cfRule type="cellIs" dxfId="24" priority="1" operator="greaterThan">
      <formula>0.05</formula>
    </cfRule>
    <cfRule type="cellIs" dxfId="23" priority="2" operator="lessThan">
      <formula>-0.05</formula>
    </cfRule>
  </conditionalFormatting>
  <conditionalFormatting sqref="V2:V48">
    <cfRule type="expression" dxfId="22" priority="5">
      <formula>AND(ISNUMBER(V2),V2&lt;-0.01)</formula>
    </cfRule>
    <cfRule type="expression" dxfId="21" priority="6">
      <formula>AND(ISNUMBER(V2),V2&gt;0.01)</formula>
    </cfRule>
  </conditionalFormatting>
  <conditionalFormatting sqref="W2:W48">
    <cfRule type="expression" dxfId="20" priority="3">
      <formula>AND(ISNUMBER(W2),W2&lt;-0.05)</formula>
    </cfRule>
    <cfRule type="expression" dxfId="19" priority="4">
      <formula>AND(ISNUMBER(W2),W2&gt;0.05)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3427-F4ED-4372-B344-5A3F6AC87909}">
  <dimension ref="A1:BG14"/>
  <sheetViews>
    <sheetView showGridLines="0" tabSelected="1" workbookViewId="0">
      <selection activeCell="E7" sqref="E7"/>
    </sheetView>
  </sheetViews>
  <sheetFormatPr defaultRowHeight="15" x14ac:dyDescent="0.25"/>
  <cols>
    <col min="2" max="2" width="21.5703125" customWidth="1"/>
    <col min="3" max="3" width="17.42578125" customWidth="1"/>
    <col min="4" max="4" width="15.7109375" customWidth="1"/>
    <col min="5" max="5" width="25.85546875" bestFit="1" customWidth="1"/>
    <col min="7" max="7" width="9.7109375" customWidth="1"/>
    <col min="9" max="9" width="10.140625" customWidth="1"/>
    <col min="10" max="10" width="9.5703125" customWidth="1"/>
    <col min="50" max="50" width="18.28515625" customWidth="1"/>
    <col min="55" max="55" width="13.42578125" customWidth="1"/>
    <col min="58" max="58" width="10.140625" customWidth="1"/>
  </cols>
  <sheetData>
    <row r="1" spans="1:59" s="4" customFormat="1" ht="30.75" customHeight="1" x14ac:dyDescent="0.25">
      <c r="A1" s="1" t="s">
        <v>129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140</v>
      </c>
      <c r="H1" s="1" t="s">
        <v>141</v>
      </c>
      <c r="I1" s="1" t="s">
        <v>142</v>
      </c>
      <c r="J1" s="1" t="s">
        <v>21</v>
      </c>
      <c r="K1" s="1" t="s">
        <v>143</v>
      </c>
      <c r="L1" s="3" t="s">
        <v>144</v>
      </c>
      <c r="M1" s="1" t="s">
        <v>145</v>
      </c>
      <c r="N1" s="1" t="s">
        <v>146</v>
      </c>
      <c r="O1" s="1" t="s">
        <v>147</v>
      </c>
      <c r="P1" s="1" t="s">
        <v>14</v>
      </c>
      <c r="Q1" s="3" t="s">
        <v>148</v>
      </c>
      <c r="R1" s="1" t="s">
        <v>16</v>
      </c>
      <c r="S1" s="1" t="s">
        <v>149</v>
      </c>
      <c r="T1" s="1" t="s">
        <v>18</v>
      </c>
      <c r="U1" s="3" t="s">
        <v>150</v>
      </c>
      <c r="V1" s="3" t="s">
        <v>130</v>
      </c>
      <c r="W1" s="3" t="s">
        <v>131</v>
      </c>
      <c r="X1" s="1" t="s">
        <v>136</v>
      </c>
      <c r="Y1" s="1" t="s">
        <v>151</v>
      </c>
      <c r="Z1" s="1" t="s">
        <v>23</v>
      </c>
      <c r="AA1" s="3" t="s">
        <v>24</v>
      </c>
      <c r="AB1" s="3" t="s">
        <v>25</v>
      </c>
      <c r="AC1" s="1" t="s">
        <v>152</v>
      </c>
      <c r="AD1" s="3" t="s">
        <v>153</v>
      </c>
      <c r="AE1" s="1" t="s">
        <v>154</v>
      </c>
      <c r="AF1" s="1" t="s">
        <v>155</v>
      </c>
      <c r="AG1" s="1" t="s">
        <v>156</v>
      </c>
      <c r="AH1" s="1" t="s">
        <v>132</v>
      </c>
      <c r="AI1" s="1" t="s">
        <v>157</v>
      </c>
      <c r="AJ1" s="1" t="s">
        <v>158</v>
      </c>
      <c r="AK1" s="1" t="s">
        <v>159</v>
      </c>
      <c r="AL1" s="1" t="s">
        <v>160</v>
      </c>
      <c r="AM1" s="1" t="s">
        <v>161</v>
      </c>
      <c r="AN1" s="1" t="s">
        <v>162</v>
      </c>
      <c r="AO1" s="1" t="s">
        <v>163</v>
      </c>
      <c r="AP1" s="1" t="s">
        <v>164</v>
      </c>
      <c r="AQ1" s="1" t="s">
        <v>165</v>
      </c>
      <c r="AR1" s="1" t="s">
        <v>166</v>
      </c>
      <c r="AS1" s="1" t="s">
        <v>167</v>
      </c>
      <c r="AT1" s="1" t="s">
        <v>168</v>
      </c>
      <c r="AU1" s="1" t="s">
        <v>169</v>
      </c>
      <c r="AV1" s="1" t="s">
        <v>170</v>
      </c>
      <c r="AW1" s="1" t="s">
        <v>171</v>
      </c>
      <c r="AX1" s="1" t="s">
        <v>140</v>
      </c>
      <c r="BC1" s="1" t="s">
        <v>5</v>
      </c>
      <c r="BD1" s="3" t="s">
        <v>37</v>
      </c>
      <c r="BE1" s="1" t="s">
        <v>38</v>
      </c>
      <c r="BF1" s="1" t="s">
        <v>39</v>
      </c>
      <c r="BG1" s="1" t="s">
        <v>172</v>
      </c>
    </row>
    <row r="2" spans="1:59" s="4" customFormat="1" ht="14.45" customHeight="1" x14ac:dyDescent="0.25">
      <c r="A2" s="16" t="s">
        <v>137</v>
      </c>
      <c r="B2" s="16" t="s">
        <v>124</v>
      </c>
      <c r="C2" s="16" t="s">
        <v>125</v>
      </c>
      <c r="D2" s="16" t="s">
        <v>49</v>
      </c>
      <c r="E2" s="17" t="s">
        <v>173</v>
      </c>
      <c r="F2" s="17" t="s">
        <v>101</v>
      </c>
      <c r="G2" s="18" t="s">
        <v>174</v>
      </c>
      <c r="H2" s="17" t="s">
        <v>175</v>
      </c>
      <c r="I2" s="17" t="s">
        <v>57</v>
      </c>
      <c r="J2" s="17" t="s">
        <v>46</v>
      </c>
      <c r="K2" s="19">
        <v>0.94831659999999995</v>
      </c>
      <c r="L2" s="20">
        <v>4.6773020906872756E-2</v>
      </c>
      <c r="M2" s="20">
        <v>-2.6032470000000002E-2</v>
      </c>
      <c r="N2" s="20">
        <v>-7.6987430000000009E-2</v>
      </c>
      <c r="O2" s="21">
        <v>584</v>
      </c>
      <c r="P2" s="22">
        <v>40.159999999999997</v>
      </c>
      <c r="Q2" s="17">
        <v>35.729999999999997</v>
      </c>
      <c r="R2" s="23">
        <v>30344.060672</v>
      </c>
      <c r="S2" s="23">
        <v>26996.844816000001</v>
      </c>
      <c r="T2" s="8">
        <v>-3347.2158559999989</v>
      </c>
      <c r="U2" s="10">
        <v>-0.11030876494023902</v>
      </c>
      <c r="V2" s="10">
        <v>1.401345E-3</v>
      </c>
      <c r="W2" s="10">
        <v>1.3617020000000001E-2</v>
      </c>
      <c r="X2" s="10" t="e">
        <v>#VALUE!</v>
      </c>
      <c r="Y2" s="23">
        <v>1262.7239869983673</v>
      </c>
      <c r="Z2" s="23">
        <v>26996.844816000001</v>
      </c>
      <c r="AA2" s="23">
        <v>23453.439999999999</v>
      </c>
      <c r="AB2" s="23">
        <v>20866.32</v>
      </c>
      <c r="AC2" s="20" t="s">
        <v>176</v>
      </c>
      <c r="AD2" s="24" t="s">
        <v>177</v>
      </c>
      <c r="AE2" s="20" t="s">
        <v>178</v>
      </c>
      <c r="AF2" s="17" t="s">
        <v>179</v>
      </c>
      <c r="AG2" s="17" t="s">
        <v>180</v>
      </c>
      <c r="AH2" s="25">
        <v>-2.1363960000000001E-2</v>
      </c>
      <c r="AI2" s="20">
        <v>-0.15112680000000001</v>
      </c>
      <c r="AJ2" s="20">
        <v>-0.1285007</v>
      </c>
      <c r="AK2" s="20" t="s">
        <v>46</v>
      </c>
      <c r="AL2" s="20">
        <v>1.5E-3</v>
      </c>
      <c r="AM2" s="20">
        <v>1.5E-3</v>
      </c>
      <c r="AN2" s="26">
        <v>0</v>
      </c>
      <c r="AO2" s="20">
        <v>-1.15943E-2</v>
      </c>
      <c r="AP2" s="20">
        <v>-1.2343999999999999E-2</v>
      </c>
      <c r="AQ2" s="20">
        <v>-1.05086E-3</v>
      </c>
      <c r="AR2" s="20">
        <v>9.7712600000000004E-3</v>
      </c>
      <c r="AS2" s="20">
        <v>-5.6010000000000001E-5</v>
      </c>
      <c r="AT2" s="20" t="s">
        <v>46</v>
      </c>
      <c r="AU2" s="20" t="s">
        <v>46</v>
      </c>
      <c r="AV2" s="20" t="s">
        <v>46</v>
      </c>
      <c r="AW2" s="17" t="s">
        <v>181</v>
      </c>
      <c r="AX2" s="17" t="s">
        <v>182</v>
      </c>
      <c r="BC2" s="27" t="s">
        <v>183</v>
      </c>
      <c r="BD2" s="27">
        <v>0.85</v>
      </c>
      <c r="BE2" s="28">
        <v>3</v>
      </c>
      <c r="BF2" s="29">
        <v>45420</v>
      </c>
      <c r="BG2" s="30">
        <v>1.0000000000107532</v>
      </c>
    </row>
    <row r="3" spans="1:59" s="4" customFormat="1" ht="14.45" customHeight="1" x14ac:dyDescent="0.25">
      <c r="A3" s="16" t="s">
        <v>137</v>
      </c>
      <c r="B3" s="16" t="s">
        <v>126</v>
      </c>
      <c r="C3" s="16" t="s">
        <v>127</v>
      </c>
      <c r="D3" s="16" t="s">
        <v>49</v>
      </c>
      <c r="E3" s="17" t="s">
        <v>173</v>
      </c>
      <c r="F3" s="17" t="s">
        <v>101</v>
      </c>
      <c r="G3" s="18" t="s">
        <v>174</v>
      </c>
      <c r="H3" s="17" t="s">
        <v>175</v>
      </c>
      <c r="I3" s="17" t="s">
        <v>57</v>
      </c>
      <c r="J3" s="17" t="s">
        <v>46</v>
      </c>
      <c r="K3" s="19">
        <v>0.94831659999999995</v>
      </c>
      <c r="L3" s="20">
        <v>4.6773020906872756E-2</v>
      </c>
      <c r="M3" s="20">
        <v>-2.6032470000000002E-2</v>
      </c>
      <c r="N3" s="20">
        <v>-7.6987430000000009E-2</v>
      </c>
      <c r="O3" s="21">
        <v>1170</v>
      </c>
      <c r="P3" s="22">
        <v>39.91057</v>
      </c>
      <c r="Q3" s="17">
        <v>35.729999999999997</v>
      </c>
      <c r="R3" s="23">
        <v>60414.465695220002</v>
      </c>
      <c r="S3" s="23">
        <v>54086.14458</v>
      </c>
      <c r="T3" s="8">
        <v>-6328.321115220002</v>
      </c>
      <c r="U3" s="10">
        <v>-0.10474844132769844</v>
      </c>
      <c r="V3" s="10">
        <v>1.401345E-3</v>
      </c>
      <c r="W3" s="10">
        <v>1.3617020000000001E-2</v>
      </c>
      <c r="X3" s="10" t="e">
        <v>#VALUE!</v>
      </c>
      <c r="Y3" s="23">
        <v>2529.7723712124825</v>
      </c>
      <c r="Z3" s="23">
        <v>54086.14458</v>
      </c>
      <c r="AA3" s="23">
        <v>46695.366900000001</v>
      </c>
      <c r="AB3" s="23">
        <v>41804.1</v>
      </c>
      <c r="AC3" s="20" t="s">
        <v>176</v>
      </c>
      <c r="AD3" s="24" t="s">
        <v>177</v>
      </c>
      <c r="AE3" s="20" t="s">
        <v>178</v>
      </c>
      <c r="AF3" s="17" t="s">
        <v>179</v>
      </c>
      <c r="AG3" s="17" t="s">
        <v>180</v>
      </c>
      <c r="AH3" s="25">
        <v>-2.1363960000000001E-2</v>
      </c>
      <c r="AI3" s="20">
        <v>-0.15112680000000001</v>
      </c>
      <c r="AJ3" s="20">
        <v>-0.1285007</v>
      </c>
      <c r="AK3" s="20" t="s">
        <v>46</v>
      </c>
      <c r="AL3" s="20">
        <v>1.5E-3</v>
      </c>
      <c r="AM3" s="20">
        <v>1.5E-3</v>
      </c>
      <c r="AN3" s="26">
        <v>0</v>
      </c>
      <c r="AO3" s="20">
        <v>-1.15943E-2</v>
      </c>
      <c r="AP3" s="20">
        <v>-1.2343999999999999E-2</v>
      </c>
      <c r="AQ3" s="20">
        <v>-1.05086E-3</v>
      </c>
      <c r="AR3" s="20">
        <v>9.7712600000000004E-3</v>
      </c>
      <c r="AS3" s="20">
        <v>-5.6010000000000001E-5</v>
      </c>
      <c r="AT3" s="20" t="s">
        <v>46</v>
      </c>
      <c r="AU3" s="20" t="s">
        <v>46</v>
      </c>
      <c r="AV3" s="20" t="s">
        <v>46</v>
      </c>
      <c r="AW3" s="17" t="s">
        <v>181</v>
      </c>
      <c r="AX3" s="17" t="s">
        <v>182</v>
      </c>
      <c r="BC3" s="27" t="s">
        <v>183</v>
      </c>
      <c r="BD3" s="27">
        <v>0.87</v>
      </c>
      <c r="BE3" s="28">
        <v>3</v>
      </c>
      <c r="BF3" s="29">
        <v>45420</v>
      </c>
      <c r="BG3" s="30">
        <v>1.0000000000107532</v>
      </c>
    </row>
    <row r="4" spans="1:59" s="4" customFormat="1" ht="14.45" customHeight="1" x14ac:dyDescent="0.25">
      <c r="A4" s="16" t="s">
        <v>137</v>
      </c>
      <c r="B4" s="16" t="s">
        <v>47</v>
      </c>
      <c r="C4" s="16" t="s">
        <v>48</v>
      </c>
      <c r="D4" s="16" t="s">
        <v>49</v>
      </c>
      <c r="E4" s="17" t="s">
        <v>173</v>
      </c>
      <c r="F4" s="17" t="s">
        <v>101</v>
      </c>
      <c r="G4" s="18" t="s">
        <v>174</v>
      </c>
      <c r="H4" s="17" t="s">
        <v>175</v>
      </c>
      <c r="I4" s="17" t="s">
        <v>57</v>
      </c>
      <c r="J4" s="17" t="s">
        <v>46</v>
      </c>
      <c r="K4" s="19">
        <v>0.94831659999999995</v>
      </c>
      <c r="L4" s="20">
        <v>4.6773020906872756E-2</v>
      </c>
      <c r="M4" s="20">
        <v>-2.6032470000000002E-2</v>
      </c>
      <c r="N4" s="20">
        <v>-7.6987430000000009E-2</v>
      </c>
      <c r="O4" s="21">
        <v>1365</v>
      </c>
      <c r="P4" s="22">
        <v>39.910580000000003</v>
      </c>
      <c r="Q4" s="17">
        <v>35.729999999999997</v>
      </c>
      <c r="R4" s="23">
        <v>70483.560971460014</v>
      </c>
      <c r="S4" s="23">
        <v>63100.502009999997</v>
      </c>
      <c r="T4" s="8">
        <v>-7383.0589614600176</v>
      </c>
      <c r="U4" s="10">
        <v>-0.10474866564204302</v>
      </c>
      <c r="V4" s="10">
        <v>1.401345E-3</v>
      </c>
      <c r="W4" s="10">
        <v>1.3617020000000001E-2</v>
      </c>
      <c r="X4" s="10" t="e">
        <v>#VALUE!</v>
      </c>
      <c r="Y4" s="23">
        <v>2951.4010997478963</v>
      </c>
      <c r="Z4" s="23">
        <v>63100.502009999997</v>
      </c>
      <c r="AA4" s="23">
        <v>54477.941700000003</v>
      </c>
      <c r="AB4" s="23">
        <v>48771.45</v>
      </c>
      <c r="AC4" s="20" t="s">
        <v>176</v>
      </c>
      <c r="AD4" s="24" t="s">
        <v>177</v>
      </c>
      <c r="AE4" s="20" t="s">
        <v>178</v>
      </c>
      <c r="AF4" s="17" t="s">
        <v>179</v>
      </c>
      <c r="AG4" s="17" t="s">
        <v>180</v>
      </c>
      <c r="AH4" s="25">
        <v>-2.1363960000000001E-2</v>
      </c>
      <c r="AI4" s="20">
        <v>-0.15112680000000001</v>
      </c>
      <c r="AJ4" s="20">
        <v>-0.1285007</v>
      </c>
      <c r="AK4" s="20" t="s">
        <v>46</v>
      </c>
      <c r="AL4" s="20">
        <v>1.5E-3</v>
      </c>
      <c r="AM4" s="20">
        <v>1.5E-3</v>
      </c>
      <c r="AN4" s="26">
        <v>0</v>
      </c>
      <c r="AO4" s="20">
        <v>-1.15943E-2</v>
      </c>
      <c r="AP4" s="20">
        <v>-1.2343999999999999E-2</v>
      </c>
      <c r="AQ4" s="20">
        <v>-1.05086E-3</v>
      </c>
      <c r="AR4" s="20">
        <v>9.7712600000000004E-3</v>
      </c>
      <c r="AS4" s="20">
        <v>-5.6010000000000001E-5</v>
      </c>
      <c r="AT4" s="20" t="s">
        <v>46</v>
      </c>
      <c r="AU4" s="20" t="s">
        <v>46</v>
      </c>
      <c r="AV4" s="20" t="s">
        <v>46</v>
      </c>
      <c r="AW4" s="17" t="s">
        <v>181</v>
      </c>
      <c r="AX4" s="17" t="s">
        <v>182</v>
      </c>
      <c r="BC4" s="27" t="s">
        <v>183</v>
      </c>
      <c r="BD4" s="27">
        <v>0.87</v>
      </c>
      <c r="BE4" s="28">
        <v>3</v>
      </c>
      <c r="BF4" s="29">
        <v>45420</v>
      </c>
      <c r="BG4" s="30">
        <v>1.0000000000107532</v>
      </c>
    </row>
    <row r="5" spans="1:59" s="4" customFormat="1" ht="14.45" customHeight="1" x14ac:dyDescent="0.25">
      <c r="A5" s="16" t="s">
        <v>137</v>
      </c>
      <c r="B5" s="16" t="s">
        <v>192</v>
      </c>
      <c r="C5" s="16" t="s">
        <v>193</v>
      </c>
      <c r="D5" s="16" t="s">
        <v>49</v>
      </c>
      <c r="E5" s="17" t="s">
        <v>173</v>
      </c>
      <c r="F5" s="17" t="s">
        <v>101</v>
      </c>
      <c r="G5" s="18" t="s">
        <v>174</v>
      </c>
      <c r="H5" s="17" t="s">
        <v>175</v>
      </c>
      <c r="I5" s="17" t="s">
        <v>57</v>
      </c>
      <c r="J5" s="17" t="s">
        <v>46</v>
      </c>
      <c r="K5" s="19">
        <v>0.94831659999999995</v>
      </c>
      <c r="L5" s="20">
        <v>4.6773020906872756E-2</v>
      </c>
      <c r="M5" s="20">
        <v>-2.6032470000000002E-2</v>
      </c>
      <c r="N5" s="20">
        <v>-7.6987430000000009E-2</v>
      </c>
      <c r="O5" s="21">
        <v>410</v>
      </c>
      <c r="P5" s="22">
        <v>39.910589999999999</v>
      </c>
      <c r="Q5" s="17">
        <v>35.729999999999997</v>
      </c>
      <c r="R5" s="23">
        <v>21170.891750220002</v>
      </c>
      <c r="S5" s="23">
        <v>18953.264340000002</v>
      </c>
      <c r="T5" s="8">
        <v>-2217.6274102200005</v>
      </c>
      <c r="U5" s="10">
        <v>-0.10474888995627478</v>
      </c>
      <c r="V5" s="10">
        <v>1.401345E-3</v>
      </c>
      <c r="W5" s="10">
        <v>1.3617020000000001E-2</v>
      </c>
      <c r="X5" s="10" t="e">
        <v>#VALUE!</v>
      </c>
      <c r="Y5" s="23">
        <v>886.50142922830594</v>
      </c>
      <c r="Z5" s="23">
        <v>18953.264340000002</v>
      </c>
      <c r="AA5" s="23">
        <v>16363.341899999999</v>
      </c>
      <c r="AB5" s="23">
        <v>14649.3</v>
      </c>
      <c r="AC5" s="20" t="s">
        <v>176</v>
      </c>
      <c r="AD5" s="24" t="s">
        <v>177</v>
      </c>
      <c r="AE5" s="20" t="s">
        <v>178</v>
      </c>
      <c r="AF5" s="17" t="s">
        <v>179</v>
      </c>
      <c r="AG5" s="17" t="s">
        <v>180</v>
      </c>
      <c r="AH5" s="25">
        <v>-2.1363960000000001E-2</v>
      </c>
      <c r="AI5" s="20">
        <v>-0.15112680000000001</v>
      </c>
      <c r="AJ5" s="20">
        <v>-0.1285007</v>
      </c>
      <c r="AK5" s="20" t="s">
        <v>46</v>
      </c>
      <c r="AL5" s="20">
        <v>1.5E-3</v>
      </c>
      <c r="AM5" s="20">
        <v>1.5E-3</v>
      </c>
      <c r="AN5" s="26">
        <v>0</v>
      </c>
      <c r="AO5" s="20">
        <v>-1.15943E-2</v>
      </c>
      <c r="AP5" s="20">
        <v>-1.2343999999999999E-2</v>
      </c>
      <c r="AQ5" s="20">
        <v>-1.05086E-3</v>
      </c>
      <c r="AR5" s="20">
        <v>9.7712600000000004E-3</v>
      </c>
      <c r="AS5" s="20">
        <v>-5.6010000000000001E-5</v>
      </c>
      <c r="AT5" s="20" t="s">
        <v>46</v>
      </c>
      <c r="AU5" s="20" t="s">
        <v>46</v>
      </c>
      <c r="AV5" s="20" t="s">
        <v>46</v>
      </c>
      <c r="AW5" s="17" t="s">
        <v>181</v>
      </c>
      <c r="AX5" s="17" t="s">
        <v>182</v>
      </c>
      <c r="BC5" s="27" t="s">
        <v>183</v>
      </c>
      <c r="BD5" s="27">
        <v>0.85</v>
      </c>
      <c r="BE5" s="28">
        <v>3</v>
      </c>
      <c r="BF5" s="29">
        <v>45420</v>
      </c>
      <c r="BG5" s="30">
        <v>1.0000000000107532</v>
      </c>
    </row>
    <row r="6" spans="1:59" s="4" customFormat="1" ht="14.45" customHeight="1" x14ac:dyDescent="0.25">
      <c r="A6" s="16" t="s">
        <v>138</v>
      </c>
      <c r="B6" s="16" t="s">
        <v>51</v>
      </c>
      <c r="C6" s="16" t="s">
        <v>52</v>
      </c>
      <c r="D6" s="16" t="s">
        <v>53</v>
      </c>
      <c r="E6" s="17" t="s">
        <v>173</v>
      </c>
      <c r="F6" s="17" t="s">
        <v>101</v>
      </c>
      <c r="G6" s="18" t="s">
        <v>174</v>
      </c>
      <c r="H6" s="17" t="s">
        <v>175</v>
      </c>
      <c r="I6" s="17" t="s">
        <v>57</v>
      </c>
      <c r="J6" s="17" t="s">
        <v>46</v>
      </c>
      <c r="K6" s="19">
        <v>0.94831659999999995</v>
      </c>
      <c r="L6" s="20">
        <v>4.6773020906872756E-2</v>
      </c>
      <c r="M6" s="20">
        <v>-2.6032470000000002E-2</v>
      </c>
      <c r="N6" s="20">
        <v>-7.6987430000000009E-2</v>
      </c>
      <c r="O6" s="21">
        <v>3360</v>
      </c>
      <c r="P6" s="22">
        <v>39.35</v>
      </c>
      <c r="Q6" s="17">
        <v>35.729999999999997</v>
      </c>
      <c r="R6" s="23">
        <v>171061.06080000001</v>
      </c>
      <c r="S6" s="23">
        <v>155324.31263999999</v>
      </c>
      <c r="T6" s="8">
        <v>-15736.748160000017</v>
      </c>
      <c r="U6" s="10">
        <v>-9.1994917407878116E-2</v>
      </c>
      <c r="V6" s="10">
        <v>1.401345E-3</v>
      </c>
      <c r="W6" s="10">
        <v>1.3617020000000001E-2</v>
      </c>
      <c r="X6" s="10" t="e">
        <v>#VALUE!</v>
      </c>
      <c r="Y6" s="23">
        <v>7264.9873224563598</v>
      </c>
      <c r="Z6" s="23">
        <v>155324.31263999999</v>
      </c>
      <c r="AA6" s="23">
        <v>132216</v>
      </c>
      <c r="AB6" s="23">
        <v>120052.79999999999</v>
      </c>
      <c r="AC6" s="20" t="s">
        <v>176</v>
      </c>
      <c r="AD6" s="24" t="s">
        <v>177</v>
      </c>
      <c r="AE6" s="20" t="s">
        <v>178</v>
      </c>
      <c r="AF6" s="17" t="s">
        <v>179</v>
      </c>
      <c r="AG6" s="17" t="s">
        <v>180</v>
      </c>
      <c r="AH6" s="25">
        <v>-2.1363960000000001E-2</v>
      </c>
      <c r="AI6" s="20">
        <v>-0.15112680000000001</v>
      </c>
      <c r="AJ6" s="20">
        <v>-0.1285007</v>
      </c>
      <c r="AK6" s="20" t="s">
        <v>46</v>
      </c>
      <c r="AL6" s="20">
        <v>1.5E-3</v>
      </c>
      <c r="AM6" s="20">
        <v>1.5E-3</v>
      </c>
      <c r="AN6" s="26">
        <v>0</v>
      </c>
      <c r="AO6" s="20">
        <v>-1.15943E-2</v>
      </c>
      <c r="AP6" s="20">
        <v>-1.2343999999999999E-2</v>
      </c>
      <c r="AQ6" s="20">
        <v>-1.05086E-3</v>
      </c>
      <c r="AR6" s="20">
        <v>9.7712600000000004E-3</v>
      </c>
      <c r="AS6" s="20">
        <v>-5.6010000000000001E-5</v>
      </c>
      <c r="AT6" s="20" t="s">
        <v>46</v>
      </c>
      <c r="AU6" s="20" t="s">
        <v>46</v>
      </c>
      <c r="AV6" s="20" t="s">
        <v>46</v>
      </c>
      <c r="AW6" s="17" t="s">
        <v>181</v>
      </c>
      <c r="AX6" s="17" t="s">
        <v>182</v>
      </c>
      <c r="BC6" s="27" t="s">
        <v>183</v>
      </c>
      <c r="BD6" s="27"/>
      <c r="BE6" s="28"/>
      <c r="BF6" s="29"/>
      <c r="BG6" s="30"/>
    </row>
    <row r="7" spans="1:59" s="4" customFormat="1" ht="14.45" customHeight="1" x14ac:dyDescent="0.25">
      <c r="A7" s="16" t="s">
        <v>138</v>
      </c>
      <c r="B7" s="16" t="s">
        <v>67</v>
      </c>
      <c r="C7" s="16" t="s">
        <v>68</v>
      </c>
      <c r="D7" s="16" t="s">
        <v>53</v>
      </c>
      <c r="E7" s="17" t="s">
        <v>173</v>
      </c>
      <c r="F7" s="17" t="s">
        <v>101</v>
      </c>
      <c r="G7" s="31" t="s">
        <v>174</v>
      </c>
      <c r="H7" s="17" t="s">
        <v>175</v>
      </c>
      <c r="I7" s="17" t="s">
        <v>57</v>
      </c>
      <c r="J7" s="17" t="s">
        <v>46</v>
      </c>
      <c r="K7" s="19">
        <v>0.94831659999999995</v>
      </c>
      <c r="L7" s="20">
        <v>4.6773020906872756E-2</v>
      </c>
      <c r="M7" s="20">
        <v>-2.6032470000000002E-2</v>
      </c>
      <c r="N7" s="20">
        <v>-7.6987430000000009E-2</v>
      </c>
      <c r="O7" s="32">
        <v>1242</v>
      </c>
      <c r="P7" s="33">
        <v>39.79</v>
      </c>
      <c r="Q7" s="17">
        <v>35.729999999999997</v>
      </c>
      <c r="R7" s="23">
        <v>63938.535084000003</v>
      </c>
      <c r="S7" s="23">
        <v>57414.522707999997</v>
      </c>
      <c r="T7" s="8">
        <v>-6524.012376000006</v>
      </c>
      <c r="U7" s="10">
        <v>-0.10203568735863291</v>
      </c>
      <c r="V7" s="10">
        <v>1.401345E-3</v>
      </c>
      <c r="W7" s="10">
        <v>1.3617020000000001E-2</v>
      </c>
      <c r="X7" s="10" t="e">
        <v>#VALUE!</v>
      </c>
      <c r="Y7" s="23">
        <v>2685.4506709794045</v>
      </c>
      <c r="Z7" s="23">
        <v>57414.522707999997</v>
      </c>
      <c r="AA7" s="23">
        <v>49419.18</v>
      </c>
      <c r="AB7" s="23">
        <v>44376.659999999996</v>
      </c>
      <c r="AC7" s="20" t="s">
        <v>176</v>
      </c>
      <c r="AD7" s="24" t="s">
        <v>177</v>
      </c>
      <c r="AE7" s="20" t="s">
        <v>178</v>
      </c>
      <c r="AF7" s="17" t="s">
        <v>179</v>
      </c>
      <c r="AG7" s="17" t="s">
        <v>180</v>
      </c>
      <c r="AH7" s="25">
        <v>-2.1363960000000001E-2</v>
      </c>
      <c r="AI7" s="20">
        <v>-0.15112680000000001</v>
      </c>
      <c r="AJ7" s="20">
        <v>-0.1285007</v>
      </c>
      <c r="AK7" s="20" t="s">
        <v>46</v>
      </c>
      <c r="AL7" s="20">
        <v>1.5E-3</v>
      </c>
      <c r="AM7" s="20">
        <v>1.5E-3</v>
      </c>
      <c r="AN7" s="26">
        <v>0</v>
      </c>
      <c r="AO7" s="20">
        <v>-1.15943E-2</v>
      </c>
      <c r="AP7" s="20">
        <v>-1.2343999999999999E-2</v>
      </c>
      <c r="AQ7" s="20">
        <v>-1.05086E-3</v>
      </c>
      <c r="AR7" s="20">
        <v>9.7712600000000004E-3</v>
      </c>
      <c r="AS7" s="20">
        <v>-5.6010000000000001E-5</v>
      </c>
      <c r="AT7" s="20" t="s">
        <v>46</v>
      </c>
      <c r="AU7" s="20" t="s">
        <v>46</v>
      </c>
      <c r="AV7" s="20" t="s">
        <v>46</v>
      </c>
      <c r="AW7" s="17" t="s">
        <v>181</v>
      </c>
      <c r="AX7" s="17" t="s">
        <v>182</v>
      </c>
      <c r="BC7" s="27" t="s">
        <v>183</v>
      </c>
      <c r="BD7" s="27">
        <v>0.85</v>
      </c>
      <c r="BE7" s="28">
        <v>3</v>
      </c>
      <c r="BF7" s="29"/>
      <c r="BG7" s="30">
        <v>1.0000000000107532</v>
      </c>
    </row>
    <row r="8" spans="1:59" s="4" customFormat="1" ht="14.45" customHeight="1" x14ac:dyDescent="0.25">
      <c r="A8" s="16" t="s">
        <v>137</v>
      </c>
      <c r="B8" s="16" t="s">
        <v>69</v>
      </c>
      <c r="C8" s="16" t="s">
        <v>70</v>
      </c>
      <c r="D8" s="16" t="s">
        <v>49</v>
      </c>
      <c r="E8" s="17" t="s">
        <v>173</v>
      </c>
      <c r="F8" s="17" t="s">
        <v>101</v>
      </c>
      <c r="G8" s="18" t="s">
        <v>174</v>
      </c>
      <c r="H8" s="17" t="s">
        <v>175</v>
      </c>
      <c r="I8" s="17" t="s">
        <v>57</v>
      </c>
      <c r="J8" s="17" t="s">
        <v>46</v>
      </c>
      <c r="K8" s="19">
        <v>0.94831659999999995</v>
      </c>
      <c r="L8" s="20">
        <v>4.6773020906872756E-2</v>
      </c>
      <c r="M8" s="20">
        <v>-2.6032470000000002E-2</v>
      </c>
      <c r="N8" s="20">
        <v>-7.6987430000000009E-2</v>
      </c>
      <c r="O8" s="21">
        <v>2735</v>
      </c>
      <c r="P8" s="22">
        <v>39.91057</v>
      </c>
      <c r="Q8" s="17">
        <v>35.729999999999997</v>
      </c>
      <c r="R8" s="23">
        <v>141225.26809950999</v>
      </c>
      <c r="S8" s="23">
        <v>126432.14138999999</v>
      </c>
      <c r="T8" s="8">
        <v>-14793.126709510005</v>
      </c>
      <c r="U8" s="10">
        <v>-0.10474844132769844</v>
      </c>
      <c r="V8" s="10">
        <v>1.401345E-3</v>
      </c>
      <c r="W8" s="10">
        <v>1.3617020000000001E-2</v>
      </c>
      <c r="X8" s="10" t="e">
        <v>#VALUE!</v>
      </c>
      <c r="Y8" s="23">
        <v>5913.6131925351619</v>
      </c>
      <c r="Z8" s="23">
        <v>126432.14138999999</v>
      </c>
      <c r="AA8" s="23">
        <v>109155.40895</v>
      </c>
      <c r="AB8" s="23">
        <v>97721.549999999988</v>
      </c>
      <c r="AC8" s="20" t="s">
        <v>176</v>
      </c>
      <c r="AD8" s="24" t="s">
        <v>177</v>
      </c>
      <c r="AE8" s="20" t="s">
        <v>178</v>
      </c>
      <c r="AF8" s="17" t="s">
        <v>179</v>
      </c>
      <c r="AG8" s="17" t="s">
        <v>180</v>
      </c>
      <c r="AH8" s="25">
        <v>-2.1363960000000001E-2</v>
      </c>
      <c r="AI8" s="20">
        <v>-0.15112680000000001</v>
      </c>
      <c r="AJ8" s="20">
        <v>-0.1285007</v>
      </c>
      <c r="AK8" s="20" t="s">
        <v>46</v>
      </c>
      <c r="AL8" s="20">
        <v>1.5E-3</v>
      </c>
      <c r="AM8" s="20">
        <v>1.5E-3</v>
      </c>
      <c r="AN8" s="26">
        <v>0</v>
      </c>
      <c r="AO8" s="20">
        <v>-1.15943E-2</v>
      </c>
      <c r="AP8" s="20">
        <v>-1.2343999999999999E-2</v>
      </c>
      <c r="AQ8" s="20">
        <v>-1.05086E-3</v>
      </c>
      <c r="AR8" s="20">
        <v>9.7712600000000004E-3</v>
      </c>
      <c r="AS8" s="20">
        <v>-5.6010000000000001E-5</v>
      </c>
      <c r="AT8" s="20" t="s">
        <v>46</v>
      </c>
      <c r="AU8" s="20" t="s">
        <v>46</v>
      </c>
      <c r="AV8" s="20" t="s">
        <v>46</v>
      </c>
      <c r="AW8" s="17" t="s">
        <v>181</v>
      </c>
      <c r="AX8" s="17" t="s">
        <v>182</v>
      </c>
      <c r="BC8" s="27" t="s">
        <v>183</v>
      </c>
      <c r="BD8" s="27">
        <v>0.77</v>
      </c>
      <c r="BE8" s="28">
        <v>3</v>
      </c>
      <c r="BF8" s="29">
        <v>45510</v>
      </c>
      <c r="BG8" s="30">
        <v>1.0000000000107532</v>
      </c>
    </row>
    <row r="9" spans="1:59" s="4" customFormat="1" ht="14.45" customHeight="1" x14ac:dyDescent="0.25">
      <c r="A9" s="16" t="s">
        <v>138</v>
      </c>
      <c r="B9" s="16" t="s">
        <v>72</v>
      </c>
      <c r="C9" s="16" t="s">
        <v>73</v>
      </c>
      <c r="D9" s="16" t="s">
        <v>53</v>
      </c>
      <c r="E9" s="17" t="s">
        <v>173</v>
      </c>
      <c r="F9" s="17" t="s">
        <v>101</v>
      </c>
      <c r="G9" s="18" t="s">
        <v>174</v>
      </c>
      <c r="H9" s="17" t="s">
        <v>175</v>
      </c>
      <c r="I9" s="17" t="s">
        <v>57</v>
      </c>
      <c r="J9" s="17" t="s">
        <v>46</v>
      </c>
      <c r="K9" s="19">
        <v>0.94831659999999995</v>
      </c>
      <c r="L9" s="20">
        <v>4.6773020906872756E-2</v>
      </c>
      <c r="M9" s="20">
        <v>-2.6032470000000002E-2</v>
      </c>
      <c r="N9" s="20">
        <v>-7.6987430000000009E-2</v>
      </c>
      <c r="O9" s="21">
        <v>2930</v>
      </c>
      <c r="P9" s="22">
        <v>40.36</v>
      </c>
      <c r="Q9" s="17">
        <v>35.729999999999997</v>
      </c>
      <c r="R9" s="23">
        <v>152998.06024000002</v>
      </c>
      <c r="S9" s="23">
        <v>135446.49882000001</v>
      </c>
      <c r="T9" s="8">
        <v>-17551.561420000013</v>
      </c>
      <c r="U9" s="10">
        <v>-0.11471754212091186</v>
      </c>
      <c r="V9" s="10">
        <v>1.401345E-3</v>
      </c>
      <c r="W9" s="10">
        <v>1.3617020000000001E-2</v>
      </c>
      <c r="X9" s="10" t="e">
        <v>#VALUE!</v>
      </c>
      <c r="Y9" s="23">
        <v>6335.2419210705766</v>
      </c>
      <c r="Z9" s="23">
        <v>135446.49882000001</v>
      </c>
      <c r="AA9" s="23">
        <v>118254.8</v>
      </c>
      <c r="AB9" s="23">
        <v>104688.9</v>
      </c>
      <c r="AC9" s="20" t="s">
        <v>176</v>
      </c>
      <c r="AD9" s="24" t="s">
        <v>177</v>
      </c>
      <c r="AE9" s="20" t="s">
        <v>178</v>
      </c>
      <c r="AF9" s="17" t="s">
        <v>179</v>
      </c>
      <c r="AG9" s="17" t="s">
        <v>180</v>
      </c>
      <c r="AH9" s="25">
        <v>-2.1363960000000001E-2</v>
      </c>
      <c r="AI9" s="20">
        <v>-0.15112680000000001</v>
      </c>
      <c r="AJ9" s="20">
        <v>-0.1285007</v>
      </c>
      <c r="AK9" s="20" t="s">
        <v>46</v>
      </c>
      <c r="AL9" s="20">
        <v>1.5E-3</v>
      </c>
      <c r="AM9" s="20">
        <v>1.5E-3</v>
      </c>
      <c r="AN9" s="26">
        <v>0</v>
      </c>
      <c r="AO9" s="20">
        <v>-1.15943E-2</v>
      </c>
      <c r="AP9" s="20">
        <v>-1.2343999999999999E-2</v>
      </c>
      <c r="AQ9" s="20">
        <v>-1.05086E-3</v>
      </c>
      <c r="AR9" s="20">
        <v>9.7712600000000004E-3</v>
      </c>
      <c r="AS9" s="20">
        <v>-5.6010000000000001E-5</v>
      </c>
      <c r="AT9" s="20" t="s">
        <v>46</v>
      </c>
      <c r="AU9" s="20" t="s">
        <v>46</v>
      </c>
      <c r="AV9" s="20" t="s">
        <v>46</v>
      </c>
      <c r="AW9" s="17" t="s">
        <v>181</v>
      </c>
      <c r="AX9" s="17" t="s">
        <v>182</v>
      </c>
      <c r="BC9" s="27" t="s">
        <v>183</v>
      </c>
      <c r="BD9" s="27">
        <v>0.85</v>
      </c>
      <c r="BE9" s="28">
        <v>3</v>
      </c>
      <c r="BF9" s="29"/>
      <c r="BG9" s="30"/>
    </row>
    <row r="10" spans="1:59" s="4" customFormat="1" ht="14.45" customHeight="1" x14ac:dyDescent="0.25">
      <c r="A10" s="16" t="s">
        <v>137</v>
      </c>
      <c r="B10" s="16" t="s">
        <v>74</v>
      </c>
      <c r="C10" s="16" t="s">
        <v>75</v>
      </c>
      <c r="D10" s="16" t="s">
        <v>49</v>
      </c>
      <c r="E10" s="17" t="s">
        <v>173</v>
      </c>
      <c r="F10" s="17" t="s">
        <v>101</v>
      </c>
      <c r="G10" s="18" t="s">
        <v>174</v>
      </c>
      <c r="H10" s="17" t="s">
        <v>175</v>
      </c>
      <c r="I10" s="17" t="s">
        <v>57</v>
      </c>
      <c r="J10" s="17" t="s">
        <v>46</v>
      </c>
      <c r="K10" s="19">
        <v>0.94831659999999995</v>
      </c>
      <c r="L10" s="20">
        <v>4.6773020906872756E-2</v>
      </c>
      <c r="M10" s="20">
        <v>-2.6032470000000002E-2</v>
      </c>
      <c r="N10" s="20">
        <v>-7.6987430000000009E-2</v>
      </c>
      <c r="O10" s="21">
        <v>975</v>
      </c>
      <c r="P10" s="22">
        <v>39.91057</v>
      </c>
      <c r="Q10" s="17">
        <v>35.729999999999997</v>
      </c>
      <c r="R10" s="23">
        <v>50345.388079349999</v>
      </c>
      <c r="S10" s="23">
        <v>45071.787150000004</v>
      </c>
      <c r="T10" s="8">
        <v>-5273.6009293499956</v>
      </c>
      <c r="U10" s="10">
        <v>-0.10474844132769831</v>
      </c>
      <c r="V10" s="10">
        <v>1.401345E-3</v>
      </c>
      <c r="W10" s="10">
        <v>1.3617020000000001E-2</v>
      </c>
      <c r="X10" s="10" t="e">
        <v>#VALUE!</v>
      </c>
      <c r="Y10" s="23">
        <v>2108.1436426770688</v>
      </c>
      <c r="Z10" s="23">
        <v>45071.787150000004</v>
      </c>
      <c r="AA10" s="23">
        <v>38912.80575</v>
      </c>
      <c r="AB10" s="23">
        <v>34836.75</v>
      </c>
      <c r="AC10" s="20" t="s">
        <v>176</v>
      </c>
      <c r="AD10" s="24" t="s">
        <v>177</v>
      </c>
      <c r="AE10" s="20" t="s">
        <v>178</v>
      </c>
      <c r="AF10" s="17" t="s">
        <v>179</v>
      </c>
      <c r="AG10" s="17" t="s">
        <v>180</v>
      </c>
      <c r="AH10" s="25">
        <v>-2.1363960000000001E-2</v>
      </c>
      <c r="AI10" s="20">
        <v>-0.15112680000000001</v>
      </c>
      <c r="AJ10" s="20">
        <v>-0.1285007</v>
      </c>
      <c r="AK10" s="20" t="s">
        <v>46</v>
      </c>
      <c r="AL10" s="20">
        <v>1.5E-3</v>
      </c>
      <c r="AM10" s="20">
        <v>1.5E-3</v>
      </c>
      <c r="AN10" s="26">
        <v>0</v>
      </c>
      <c r="AO10" s="20">
        <v>-1.15943E-2</v>
      </c>
      <c r="AP10" s="20">
        <v>-1.2343999999999999E-2</v>
      </c>
      <c r="AQ10" s="20">
        <v>-1.05086E-3</v>
      </c>
      <c r="AR10" s="20">
        <v>9.7712600000000004E-3</v>
      </c>
      <c r="AS10" s="20">
        <v>-5.6010000000000001E-5</v>
      </c>
      <c r="AT10" s="20" t="s">
        <v>46</v>
      </c>
      <c r="AU10" s="20" t="s">
        <v>46</v>
      </c>
      <c r="AV10" s="20" t="s">
        <v>46</v>
      </c>
      <c r="AW10" s="17" t="s">
        <v>181</v>
      </c>
      <c r="AX10" s="17" t="s">
        <v>182</v>
      </c>
      <c r="BC10" s="27" t="s">
        <v>183</v>
      </c>
      <c r="BD10" s="27">
        <v>0.8</v>
      </c>
      <c r="BE10" s="28">
        <v>3</v>
      </c>
      <c r="BF10" s="29">
        <v>45420</v>
      </c>
      <c r="BG10" s="30">
        <v>1.0000000000107532</v>
      </c>
    </row>
    <row r="11" spans="1:59" s="4" customFormat="1" ht="14.45" customHeight="1" x14ac:dyDescent="0.25">
      <c r="A11" s="16" t="s">
        <v>137</v>
      </c>
      <c r="B11" s="16" t="s">
        <v>79</v>
      </c>
      <c r="C11" s="16" t="s">
        <v>80</v>
      </c>
      <c r="D11" s="16" t="s">
        <v>49</v>
      </c>
      <c r="E11" s="17" t="s">
        <v>173</v>
      </c>
      <c r="F11" s="17" t="s">
        <v>101</v>
      </c>
      <c r="G11" s="18" t="s">
        <v>174</v>
      </c>
      <c r="H11" s="17" t="s">
        <v>175</v>
      </c>
      <c r="I11" s="17" t="s">
        <v>57</v>
      </c>
      <c r="J11" s="17" t="s">
        <v>46</v>
      </c>
      <c r="K11" s="19">
        <v>0.94831659999999995</v>
      </c>
      <c r="L11" s="20">
        <v>4.6773020906872756E-2</v>
      </c>
      <c r="M11" s="20">
        <v>-2.6032470000000002E-2</v>
      </c>
      <c r="N11" s="20">
        <v>-7.6987430000000009E-2</v>
      </c>
      <c r="O11" s="21">
        <v>1365</v>
      </c>
      <c r="P11" s="22">
        <v>39.910580000000003</v>
      </c>
      <c r="Q11" s="17">
        <v>35.729999999999997</v>
      </c>
      <c r="R11" s="23">
        <v>70483.560971460014</v>
      </c>
      <c r="S11" s="23">
        <v>63100.502009999997</v>
      </c>
      <c r="T11" s="8">
        <v>-7383.0589614600176</v>
      </c>
      <c r="U11" s="10">
        <v>-0.10474866564204302</v>
      </c>
      <c r="V11" s="10">
        <v>1.401345E-3</v>
      </c>
      <c r="W11" s="10">
        <v>1.3617020000000001E-2</v>
      </c>
      <c r="X11" s="10" t="e">
        <v>#VALUE!</v>
      </c>
      <c r="Y11" s="23">
        <v>2951.4010997478963</v>
      </c>
      <c r="Z11" s="23">
        <v>63100.502009999997</v>
      </c>
      <c r="AA11" s="23">
        <v>54477.941700000003</v>
      </c>
      <c r="AB11" s="23">
        <v>48771.45</v>
      </c>
      <c r="AC11" s="20" t="s">
        <v>176</v>
      </c>
      <c r="AD11" s="24" t="s">
        <v>177</v>
      </c>
      <c r="AE11" s="20" t="s">
        <v>178</v>
      </c>
      <c r="AF11" s="17" t="s">
        <v>179</v>
      </c>
      <c r="AG11" s="17" t="s">
        <v>180</v>
      </c>
      <c r="AH11" s="25">
        <v>-2.1363960000000001E-2</v>
      </c>
      <c r="AI11" s="20">
        <v>-0.15112680000000001</v>
      </c>
      <c r="AJ11" s="20">
        <v>-0.1285007</v>
      </c>
      <c r="AK11" s="20" t="s">
        <v>46</v>
      </c>
      <c r="AL11" s="20">
        <v>1.5E-3</v>
      </c>
      <c r="AM11" s="20">
        <v>1.5E-3</v>
      </c>
      <c r="AN11" s="26">
        <v>0</v>
      </c>
      <c r="AO11" s="20">
        <v>-1.15943E-2</v>
      </c>
      <c r="AP11" s="20">
        <v>-1.2343999999999999E-2</v>
      </c>
      <c r="AQ11" s="20">
        <v>-1.05086E-3</v>
      </c>
      <c r="AR11" s="20">
        <v>9.7712600000000004E-3</v>
      </c>
      <c r="AS11" s="20">
        <v>-5.6010000000000001E-5</v>
      </c>
      <c r="AT11" s="20" t="s">
        <v>46</v>
      </c>
      <c r="AU11" s="20" t="s">
        <v>46</v>
      </c>
      <c r="AV11" s="20" t="s">
        <v>46</v>
      </c>
      <c r="AW11" s="17" t="s">
        <v>181</v>
      </c>
      <c r="AX11" s="17" t="s">
        <v>182</v>
      </c>
      <c r="BC11" s="27" t="s">
        <v>183</v>
      </c>
      <c r="BD11" s="27">
        <v>0.77</v>
      </c>
      <c r="BE11" s="28">
        <v>3</v>
      </c>
      <c r="BF11" s="29">
        <v>45510</v>
      </c>
      <c r="BG11" s="30">
        <v>1.0000000000107532</v>
      </c>
    </row>
    <row r="12" spans="1:59" s="4" customFormat="1" ht="14.45" customHeight="1" x14ac:dyDescent="0.25">
      <c r="A12" s="16" t="s">
        <v>137</v>
      </c>
      <c r="B12" s="16" t="s">
        <v>82</v>
      </c>
      <c r="C12" s="16">
        <v>2620061.0010000002</v>
      </c>
      <c r="D12" s="16" t="s">
        <v>49</v>
      </c>
      <c r="E12" s="17" t="s">
        <v>173</v>
      </c>
      <c r="F12" s="17" t="s">
        <v>101</v>
      </c>
      <c r="G12" s="18" t="s">
        <v>174</v>
      </c>
      <c r="H12" s="17" t="s">
        <v>175</v>
      </c>
      <c r="I12" s="17" t="s">
        <v>57</v>
      </c>
      <c r="J12" s="17" t="s">
        <v>46</v>
      </c>
      <c r="K12" s="19">
        <v>0.94831659999999995</v>
      </c>
      <c r="L12" s="20">
        <v>4.6773020906872756E-2</v>
      </c>
      <c r="M12" s="20">
        <v>-2.6032470000000002E-2</v>
      </c>
      <c r="N12" s="20">
        <v>-7.6987430000000009E-2</v>
      </c>
      <c r="O12" s="21">
        <v>1515</v>
      </c>
      <c r="P12" s="22">
        <v>39.91057</v>
      </c>
      <c r="Q12" s="17">
        <v>35.729999999999997</v>
      </c>
      <c r="R12" s="23">
        <v>78228.987630990014</v>
      </c>
      <c r="S12" s="23">
        <v>70034.62311</v>
      </c>
      <c r="T12" s="8">
        <v>-8194.3645209900133</v>
      </c>
      <c r="U12" s="10">
        <v>-0.10474844132769855</v>
      </c>
      <c r="V12" s="10">
        <v>1.401345E-3</v>
      </c>
      <c r="W12" s="10">
        <v>1.3617020000000001E-2</v>
      </c>
      <c r="X12" s="10" t="e">
        <v>#VALUE!</v>
      </c>
      <c r="Y12" s="23">
        <v>3275.7308909289841</v>
      </c>
      <c r="Z12" s="23">
        <v>70034.62311</v>
      </c>
      <c r="AA12" s="23">
        <v>60464.513550000003</v>
      </c>
      <c r="AB12" s="23">
        <v>54130.95</v>
      </c>
      <c r="AC12" s="20" t="s">
        <v>176</v>
      </c>
      <c r="AD12" s="24" t="s">
        <v>177</v>
      </c>
      <c r="AE12" s="20" t="s">
        <v>178</v>
      </c>
      <c r="AF12" s="17" t="s">
        <v>179</v>
      </c>
      <c r="AG12" s="17" t="s">
        <v>180</v>
      </c>
      <c r="AH12" s="25">
        <v>-2.1363960000000001E-2</v>
      </c>
      <c r="AI12" s="20">
        <v>-0.15112680000000001</v>
      </c>
      <c r="AJ12" s="20">
        <v>-0.1285007</v>
      </c>
      <c r="AK12" s="20" t="s">
        <v>46</v>
      </c>
      <c r="AL12" s="20">
        <v>1.5E-3</v>
      </c>
      <c r="AM12" s="20">
        <v>1.5E-3</v>
      </c>
      <c r="AN12" s="26">
        <v>0</v>
      </c>
      <c r="AO12" s="20">
        <v>-1.15943E-2</v>
      </c>
      <c r="AP12" s="20">
        <v>-1.2343999999999999E-2</v>
      </c>
      <c r="AQ12" s="20">
        <v>-1.05086E-3</v>
      </c>
      <c r="AR12" s="20">
        <v>9.7712600000000004E-3</v>
      </c>
      <c r="AS12" s="20">
        <v>-5.6010000000000001E-5</v>
      </c>
      <c r="AT12" s="20" t="s">
        <v>46</v>
      </c>
      <c r="AU12" s="20" t="s">
        <v>46</v>
      </c>
      <c r="AV12" s="20" t="s">
        <v>46</v>
      </c>
      <c r="AW12" s="17" t="s">
        <v>181</v>
      </c>
      <c r="AX12" s="17" t="s">
        <v>182</v>
      </c>
      <c r="BC12" s="27" t="s">
        <v>183</v>
      </c>
      <c r="BD12" s="27">
        <v>0.75</v>
      </c>
      <c r="BE12" s="28">
        <v>5</v>
      </c>
      <c r="BF12" s="29">
        <v>45492</v>
      </c>
      <c r="BG12" s="30">
        <v>1.0000000000107532</v>
      </c>
    </row>
    <row r="13" spans="1:59" s="4" customFormat="1" ht="14.45" customHeight="1" x14ac:dyDescent="0.25">
      <c r="A13" s="16" t="s">
        <v>137</v>
      </c>
      <c r="B13" s="16" t="s">
        <v>85</v>
      </c>
      <c r="C13" s="16">
        <v>2620058.003</v>
      </c>
      <c r="D13" s="16" t="s">
        <v>49</v>
      </c>
      <c r="E13" s="17" t="s">
        <v>173</v>
      </c>
      <c r="F13" s="17" t="s">
        <v>101</v>
      </c>
      <c r="G13" s="18" t="s">
        <v>174</v>
      </c>
      <c r="H13" s="17" t="s">
        <v>175</v>
      </c>
      <c r="I13" s="17" t="s">
        <v>57</v>
      </c>
      <c r="J13" s="17" t="s">
        <v>46</v>
      </c>
      <c r="K13" s="19">
        <v>0.94831659999999995</v>
      </c>
      <c r="L13" s="20">
        <v>4.6773020906872756E-2</v>
      </c>
      <c r="M13" s="20">
        <v>-2.6032470000000002E-2</v>
      </c>
      <c r="N13" s="20">
        <v>-7.6987430000000009E-2</v>
      </c>
      <c r="O13" s="21">
        <v>1025</v>
      </c>
      <c r="P13" s="22">
        <v>39.910580000000003</v>
      </c>
      <c r="Q13" s="17">
        <v>35.729999999999997</v>
      </c>
      <c r="R13" s="23">
        <v>52927.216114100011</v>
      </c>
      <c r="S13" s="23">
        <v>47383.16085</v>
      </c>
      <c r="T13" s="8">
        <v>-5544.0552641000104</v>
      </c>
      <c r="U13" s="10">
        <v>-0.10474866564204297</v>
      </c>
      <c r="V13" s="10">
        <v>1.401345E-3</v>
      </c>
      <c r="W13" s="10">
        <v>1.3617020000000001E-2</v>
      </c>
      <c r="X13" s="10" t="e">
        <v>#VALUE!</v>
      </c>
      <c r="Y13" s="23">
        <v>2216.2535730707646</v>
      </c>
      <c r="Z13" s="23">
        <v>47383.16085</v>
      </c>
      <c r="AA13" s="23">
        <v>40908.344500000007</v>
      </c>
      <c r="AB13" s="23">
        <v>36623.25</v>
      </c>
      <c r="AC13" s="20" t="s">
        <v>176</v>
      </c>
      <c r="AD13" s="24" t="s">
        <v>177</v>
      </c>
      <c r="AE13" s="20" t="s">
        <v>178</v>
      </c>
      <c r="AF13" s="17" t="s">
        <v>179</v>
      </c>
      <c r="AG13" s="17" t="s">
        <v>180</v>
      </c>
      <c r="AH13" s="25">
        <v>-2.1363960000000001E-2</v>
      </c>
      <c r="AI13" s="20">
        <v>-0.15112680000000001</v>
      </c>
      <c r="AJ13" s="20">
        <v>-0.1285007</v>
      </c>
      <c r="AK13" s="20" t="s">
        <v>46</v>
      </c>
      <c r="AL13" s="20">
        <v>1.5E-3</v>
      </c>
      <c r="AM13" s="20">
        <v>1.5E-3</v>
      </c>
      <c r="AN13" s="26">
        <v>0</v>
      </c>
      <c r="AO13" s="20">
        <v>-1.15943E-2</v>
      </c>
      <c r="AP13" s="20">
        <v>-1.2343999999999999E-2</v>
      </c>
      <c r="AQ13" s="20">
        <v>-1.05086E-3</v>
      </c>
      <c r="AR13" s="20">
        <v>9.7712600000000004E-3</v>
      </c>
      <c r="AS13" s="20">
        <v>-5.6010000000000001E-5</v>
      </c>
      <c r="AT13" s="20" t="s">
        <v>46</v>
      </c>
      <c r="AU13" s="20" t="s">
        <v>46</v>
      </c>
      <c r="AV13" s="20" t="s">
        <v>46</v>
      </c>
      <c r="AW13" s="17" t="s">
        <v>181</v>
      </c>
      <c r="AX13" s="17" t="s">
        <v>182</v>
      </c>
      <c r="BC13" s="27" t="s">
        <v>183</v>
      </c>
      <c r="BD13" s="27">
        <v>0.75</v>
      </c>
      <c r="BE13" s="28">
        <v>5</v>
      </c>
      <c r="BF13" s="29">
        <v>45492</v>
      </c>
      <c r="BG13" s="30">
        <v>1.0000000000107532</v>
      </c>
    </row>
    <row r="14" spans="1:59" s="4" customFormat="1" ht="14.45" customHeight="1" x14ac:dyDescent="0.25">
      <c r="A14" s="16" t="s">
        <v>137</v>
      </c>
      <c r="B14" s="16" t="s">
        <v>86</v>
      </c>
      <c r="C14" s="16" t="s">
        <v>87</v>
      </c>
      <c r="D14" s="16" t="s">
        <v>49</v>
      </c>
      <c r="E14" s="17" t="s">
        <v>173</v>
      </c>
      <c r="F14" s="17" t="s">
        <v>101</v>
      </c>
      <c r="G14" s="18" t="s">
        <v>174</v>
      </c>
      <c r="H14" s="17" t="s">
        <v>175</v>
      </c>
      <c r="I14" s="17" t="s">
        <v>57</v>
      </c>
      <c r="J14" s="17" t="s">
        <v>46</v>
      </c>
      <c r="K14" s="19">
        <v>0.94831659999999995</v>
      </c>
      <c r="L14" s="20">
        <v>4.6773020906872756E-2</v>
      </c>
      <c r="M14" s="20">
        <v>-2.6032470000000002E-2</v>
      </c>
      <c r="N14" s="20">
        <v>-7.6987430000000009E-2</v>
      </c>
      <c r="O14" s="21">
        <v>1950</v>
      </c>
      <c r="P14" s="22">
        <v>39.91057</v>
      </c>
      <c r="Q14" s="17">
        <v>35.729999999999997</v>
      </c>
      <c r="R14" s="23">
        <v>100690.7761587</v>
      </c>
      <c r="S14" s="23">
        <v>90143.574300000007</v>
      </c>
      <c r="T14" s="8">
        <v>-10547.201858699991</v>
      </c>
      <c r="U14" s="10">
        <v>-0.10474844132769831</v>
      </c>
      <c r="V14" s="10">
        <v>1.401345E-3</v>
      </c>
      <c r="W14" s="10">
        <v>1.3617020000000001E-2</v>
      </c>
      <c r="X14" s="10" t="e">
        <v>#VALUE!</v>
      </c>
      <c r="Y14" s="23">
        <v>4216.2872853541376</v>
      </c>
      <c r="Z14" s="23">
        <v>90143.574300000007</v>
      </c>
      <c r="AA14" s="23">
        <v>77825.611499999999</v>
      </c>
      <c r="AB14" s="23">
        <v>69673.5</v>
      </c>
      <c r="AC14" s="20" t="s">
        <v>176</v>
      </c>
      <c r="AD14" s="24" t="s">
        <v>177</v>
      </c>
      <c r="AE14" s="20" t="s">
        <v>178</v>
      </c>
      <c r="AF14" s="17" t="s">
        <v>179</v>
      </c>
      <c r="AG14" s="17" t="s">
        <v>180</v>
      </c>
      <c r="AH14" s="25">
        <v>-2.1363960000000001E-2</v>
      </c>
      <c r="AI14" s="20">
        <v>-0.15112680000000001</v>
      </c>
      <c r="AJ14" s="20">
        <v>-0.1285007</v>
      </c>
      <c r="AK14" s="20" t="s">
        <v>46</v>
      </c>
      <c r="AL14" s="20">
        <v>1.5E-3</v>
      </c>
      <c r="AM14" s="20">
        <v>1.5E-3</v>
      </c>
      <c r="AN14" s="26">
        <v>0</v>
      </c>
      <c r="AO14" s="20">
        <v>-1.15943E-2</v>
      </c>
      <c r="AP14" s="20">
        <v>-1.2343999999999999E-2</v>
      </c>
      <c r="AQ14" s="20">
        <v>-1.05086E-3</v>
      </c>
      <c r="AR14" s="20">
        <v>9.7712600000000004E-3</v>
      </c>
      <c r="AS14" s="20">
        <v>-5.6010000000000001E-5</v>
      </c>
      <c r="AT14" s="20" t="s">
        <v>46</v>
      </c>
      <c r="AU14" s="20" t="s">
        <v>46</v>
      </c>
      <c r="AV14" s="20" t="s">
        <v>46</v>
      </c>
      <c r="AW14" s="17" t="s">
        <v>181</v>
      </c>
      <c r="AX14" s="17" t="s">
        <v>182</v>
      </c>
      <c r="BC14" s="27" t="s">
        <v>183</v>
      </c>
      <c r="BD14" s="27">
        <v>0.77</v>
      </c>
      <c r="BE14" s="28">
        <v>3</v>
      </c>
      <c r="BF14" s="29">
        <v>45510</v>
      </c>
      <c r="BG14" s="30">
        <v>1.0000000000107532</v>
      </c>
    </row>
  </sheetData>
  <sortState xmlns:xlrd2="http://schemas.microsoft.com/office/spreadsheetml/2017/richdata2" ref="A2:BG14">
    <sortCondition ref="G2:G14"/>
    <sortCondition ref="B2:B14"/>
  </sortState>
  <conditionalFormatting sqref="U2:U14">
    <cfRule type="cellIs" dxfId="18" priority="5" operator="lessThan">
      <formula>-0.07</formula>
    </cfRule>
    <cfRule type="cellIs" dxfId="17" priority="6" operator="greaterThan">
      <formula>0.07</formula>
    </cfRule>
  </conditionalFormatting>
  <conditionalFormatting sqref="V2:V14">
    <cfRule type="cellIs" dxfId="16" priority="3" operator="lessThan">
      <formula>-0.05</formula>
    </cfRule>
    <cfRule type="cellIs" dxfId="15" priority="4" operator="greaterThan">
      <formula>0.05</formula>
    </cfRule>
  </conditionalFormatting>
  <conditionalFormatting sqref="W2:W14">
    <cfRule type="cellIs" dxfId="14" priority="1" operator="greaterThan">
      <formula>0.1</formula>
    </cfRule>
    <cfRule type="cellIs" dxfId="13" priority="2" operator="lessThan">
      <formula>-0.1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B21E4-31AD-47D4-A8D2-967E2D16F4D6}">
  <dimension ref="A1:XFA38"/>
  <sheetViews>
    <sheetView showGridLines="0" workbookViewId="0">
      <selection activeCell="H11" sqref="H11"/>
    </sheetView>
  </sheetViews>
  <sheetFormatPr defaultRowHeight="15" x14ac:dyDescent="0.25"/>
  <cols>
    <col min="1" max="1" width="6.42578125" customWidth="1"/>
    <col min="2" max="2" width="15.28515625" customWidth="1"/>
    <col min="3" max="3" width="17.42578125" customWidth="1"/>
    <col min="4" max="4" width="15.7109375" customWidth="1"/>
    <col min="5" max="5" width="30.7109375" customWidth="1"/>
    <col min="6" max="6" width="9.85546875" customWidth="1"/>
    <col min="7" max="7" width="17.28515625" customWidth="1"/>
    <col min="8" max="8" width="14.7109375" customWidth="1"/>
    <col min="9" max="9" width="9.42578125" bestFit="1" customWidth="1"/>
    <col min="10" max="10" width="12.42578125" bestFit="1" customWidth="1"/>
    <col min="11" max="11" width="12.7109375" bestFit="1" customWidth="1"/>
    <col min="12" max="12" width="10.140625" bestFit="1" customWidth="1"/>
    <col min="14" max="14" width="10.140625" bestFit="1" customWidth="1"/>
    <col min="15" max="16" width="9.42578125" bestFit="1" customWidth="1"/>
    <col min="18" max="18" width="9.42578125" bestFit="1" customWidth="1"/>
    <col min="19" max="19" width="11.5703125" customWidth="1"/>
    <col min="20" max="20" width="9.42578125" bestFit="1" customWidth="1"/>
    <col min="21" max="21" width="9.42578125" customWidth="1"/>
    <col min="22" max="28" width="0" hidden="1" customWidth="1"/>
    <col min="29" max="29" width="11.42578125" customWidth="1"/>
    <col min="30" max="30" width="19" customWidth="1"/>
    <col min="32" max="34" width="9.42578125" customWidth="1"/>
    <col min="35" max="35" width="17" customWidth="1"/>
    <col min="36" max="36" width="9.42578125" customWidth="1"/>
    <col min="40" max="40" width="10.42578125" customWidth="1"/>
    <col min="41" max="44" width="9.42578125" customWidth="1"/>
    <col min="59" max="59" width="13.7109375" customWidth="1"/>
    <col min="60" max="60" width="10.140625" customWidth="1"/>
  </cols>
  <sheetData>
    <row r="1" spans="1:16381" s="4" customFormat="1" ht="30" customHeight="1" x14ac:dyDescent="0.25">
      <c r="A1" s="1" t="s">
        <v>129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2" t="s">
        <v>130</v>
      </c>
      <c r="W1" s="2" t="s">
        <v>131</v>
      </c>
      <c r="X1" s="3" t="s">
        <v>132</v>
      </c>
      <c r="Y1" s="3" t="s">
        <v>133</v>
      </c>
      <c r="Z1" s="3" t="s">
        <v>134</v>
      </c>
      <c r="AA1" s="3" t="s">
        <v>135</v>
      </c>
      <c r="AB1" s="1" t="s">
        <v>136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128</v>
      </c>
      <c r="AK1" s="1" t="s">
        <v>27</v>
      </c>
      <c r="AL1" s="1" t="s">
        <v>28</v>
      </c>
      <c r="AM1" s="1" t="s">
        <v>29</v>
      </c>
      <c r="AN1" s="3" t="s">
        <v>30</v>
      </c>
      <c r="AO1" s="3" t="s">
        <v>31</v>
      </c>
      <c r="AP1" s="3" t="s">
        <v>32</v>
      </c>
      <c r="AQ1" s="1" t="s">
        <v>123</v>
      </c>
      <c r="AR1" s="1" t="s">
        <v>33</v>
      </c>
      <c r="AS1" s="1" t="s">
        <v>34</v>
      </c>
      <c r="AT1" s="1" t="s">
        <v>35</v>
      </c>
      <c r="AU1" s="1" t="s">
        <v>36</v>
      </c>
      <c r="BG1" s="1" t="s">
        <v>5</v>
      </c>
      <c r="BH1" s="1" t="s">
        <v>39</v>
      </c>
    </row>
    <row r="2" spans="1:16381" s="4" customFormat="1" ht="14.45" customHeight="1" x14ac:dyDescent="0.25">
      <c r="A2" s="16" t="s">
        <v>138</v>
      </c>
      <c r="B2" s="16" t="s">
        <v>88</v>
      </c>
      <c r="C2" s="16" t="s">
        <v>92</v>
      </c>
      <c r="D2" s="16" t="s">
        <v>43</v>
      </c>
      <c r="E2" s="11" t="str">
        <f>_xll.BDP(AI2,"ds520")</f>
        <v>Abu Dhabi Developmental Holding Co PJSC</v>
      </c>
      <c r="F2" s="11" t="str">
        <f>_xll.BDP(AI2,"crncy")</f>
        <v>USD</v>
      </c>
      <c r="G2" s="34" t="s">
        <v>58</v>
      </c>
      <c r="H2" s="11" t="str">
        <f>IF(_xll.BDP(AI2,"RTG_MOODY")="#N/A N/A","N/A",_xll.BDP(AI2,"RTG_MOODY"))&amp;","&amp;IF(_xll.BDP(AI2,"RTG_FITCH")="#N/A N/A","N/A",_xll.BDP(AI2,"RTG_FITCH"))&amp;","&amp;IF(_xll.BDP(AI2,"RTG_SP")="#N/A N/A","N/A",_xll.BDP(AI2,"RTG_SP"))</f>
        <v>Aa2,AA,N/A</v>
      </c>
      <c r="I2" s="5">
        <f>_xll.BDP(AI2,"cpn")/100</f>
        <v>5.2499999999999998E-2</v>
      </c>
      <c r="J2" s="5">
        <f ca="1">_xll.BDP($G2&amp;" isin","YAS_BOND_YLD", "YAS_YLD_FLAG=15", "user_local_trade_date",AN2,"Yas_bond_px",$Q2)/100</f>
        <v>5.7895330000000002E-2</v>
      </c>
      <c r="K2" s="11" t="str">
        <f>_xll.BDP(AI2,"PAYMENT_RANK")</f>
        <v>Sr Unsecured</v>
      </c>
      <c r="L2" s="11" t="str">
        <f>IF((TEXT(_xll.BDP(AI2,"MATURITY"),"DD/MM/YYYY")="#N/A Field Not Applicable"),"Perp",TEXT(_xll.BDP(AI2,"MATURITY"),"DD/MM/YYYY"))</f>
        <v>02/10/2054</v>
      </c>
      <c r="M2" s="6">
        <f>(IF(_xll.BDP($AI2&amp;" ISIN","DU003")="#n/a n/a"," ",_xll.BDP($AI2&amp;" ISIN","DU003")))</f>
        <v>14.756005052809433</v>
      </c>
      <c r="N2" s="11" t="str">
        <f>IF(_xll.BDP(AI2,"CALLABLE")="Y",_xll.BDP(AI2,"NXT_CALL_DT")," ")</f>
        <v>02/04/2054</v>
      </c>
      <c r="O2" s="35">
        <v>500000</v>
      </c>
      <c r="P2" s="34">
        <v>96.73</v>
      </c>
      <c r="Q2" s="13">
        <f>_xll.BDP(AI2,"px_bid")</f>
        <v>92.412000000000006</v>
      </c>
      <c r="R2" s="7">
        <f>IF(F2="USD",AG2,(((_xll.BDP(F2&amp;"USD CURNCY","PX_LAST")))*AG2))</f>
        <v>483650</v>
      </c>
      <c r="S2" s="7">
        <f>IF(F2="USD",AH2,(((_xll.BDP(F2&amp;"USD CURNCY","PX_LAST")))*AH2))+AP2</f>
        <v>462643.33333333331</v>
      </c>
      <c r="T2" s="8">
        <f t="shared" ref="T2:T38" si="0">U2*R2</f>
        <v>-21589.999999999989</v>
      </c>
      <c r="U2" s="9">
        <f t="shared" ref="U2:U38" si="1">(Q2-P2)/P2</f>
        <v>-4.4639718804920889E-2</v>
      </c>
      <c r="V2" s="9" cm="1">
        <f t="array" ref="V2">IFERROR(_xll.BDP($G2&amp;" ISIN","CHG_PCT_1D")/100,"")</f>
        <v>3.2456994482310628E-3</v>
      </c>
      <c r="W2" s="9" cm="1">
        <f t="array" ref="W2">IFERROR(_xll.BDP($G2&amp;" ISIN","CHG_PCT_5D")/100,"")</f>
        <v>-1.2281243675638738E-2</v>
      </c>
      <c r="X2" s="9" cm="1">
        <f t="array" ref="X2">_xll.BDP($G2&amp;" ISIN","CHG_PCT_1M")/100</f>
        <v>-1.3237704045799902E-2</v>
      </c>
      <c r="Y2" s="9" cm="1">
        <f t="array" ref="Y2">_xll.BDP($G2&amp;" ISIN","CHG_PCT_3M")/100</f>
        <v>3.702792471398704E-2</v>
      </c>
      <c r="Z2" s="9" cm="1">
        <f t="array" ref="Z2">_xll.BDP($G2&amp;" ISIN","CHG_PCT_6M")/100</f>
        <v>-4.3458527175763012E-2</v>
      </c>
      <c r="AA2" s="9" cm="1">
        <f t="array" ref="AA2">_xll.BDP($G2&amp;" ISIN","CHG_PCT_YTD")/100</f>
        <v>8.8668878855464039E-3</v>
      </c>
      <c r="AB2" s="9" t="e">
        <f t="shared" ref="AB2:AB35" si="2">S2/$H$41</f>
        <v>#DIV/0!</v>
      </c>
      <c r="AC2" s="12">
        <f t="shared" ref="AC2:AC38" ca="1" si="3">((AF2*I2)* ((TODAY()-BH2)/360))+(Q2-P2)%*AF2</f>
        <v>-8902.4999999999891</v>
      </c>
      <c r="AD2" s="11" t="str">
        <f>_xll.BDP(AI2,"DS199")</f>
        <v>Financial</v>
      </c>
      <c r="AE2" s="13">
        <f>_xll.BDP(AI2,"px_ask")</f>
        <v>93.049000000000007</v>
      </c>
      <c r="AF2" s="12">
        <f>IF(F2="USD",O2,(((_xll.BDP(F2&amp;"USD CURNCY","PX_LAST")))*O2))</f>
        <v>500000</v>
      </c>
      <c r="AG2" s="7">
        <f t="shared" ref="AG2:AG38" si="4">O2*P2/100</f>
        <v>483650</v>
      </c>
      <c r="AH2" s="7">
        <f t="shared" ref="AH2:AH38" si="5">Q2*O2/100</f>
        <v>462060</v>
      </c>
      <c r="AI2" s="11" t="str">
        <f t="shared" ref="AI2:AI38" si="6">G2&amp; " ISIN"</f>
        <v>XS2907245208 ISIN</v>
      </c>
      <c r="AJ2" s="11" t="e" cm="1">
        <f t="array" ref="AJ2">VLOOKUP(IF(NOT(_xll.BDP($G2&amp;" CORP",#REF!)="#N/A N/A"),(_xll.BDP($G2&amp;" CORP",#REF!)),"-"), '[1]Country Codes'!$A$2:$B$253,2,0)</f>
        <v>#REF!</v>
      </c>
      <c r="AK2" s="11" t="str" cm="1">
        <f t="array" ref="AK2">IF(OR(_xll.BDP($AI2,"EX028")= "#N/A N/A", _xll.BDP($AI2,"EX028")="#N/A FIELD NOT APPLICABLE"), " ", _xll.BDP($AI2,"EX028"))</f>
        <v>FixedIncome</v>
      </c>
      <c r="AL2" s="5" t="str">
        <f>(IF(_xll.BDP($AI2&amp;" ISIN","DZ282")="Y","Single line Bonds Cocos","Single line Bonds ex Cocos"))</f>
        <v>Single line Bonds ex Cocos</v>
      </c>
      <c r="AM2" s="6">
        <f>(IF(_xll.BDP($G2&amp;" ISIN","SP153")="#n/a n/a"," ",_xll.BDP($G2&amp;" ISIN","SP153")))</f>
        <v>197.98293526910058</v>
      </c>
      <c r="AN2" s="14">
        <f t="shared" ref="AN2:AN38" ca="1" si="7">TODAY()</f>
        <v>45755</v>
      </c>
      <c r="AO2" s="7">
        <f>(((_xll.BDP(AI2,"DS032"))/360)*I2)*O2</f>
        <v>583.33333333333337</v>
      </c>
      <c r="AP2" s="7">
        <f>IF(F2="USD",AO2,(((_xll.BDP(F2&amp;"USD CURNCY","PX_LAST")))*AO2))</f>
        <v>583.33333333333337</v>
      </c>
      <c r="AQ2" s="9" t="e">
        <f>S2/$S$172</f>
        <v>#DIV/0!</v>
      </c>
      <c r="AR2" s="7">
        <f t="shared" ref="AR2:AR38" si="8">S2-AP2</f>
        <v>462060</v>
      </c>
      <c r="AS2" s="13">
        <f>IF((TEXT(_xll.BDP(AI2,"MATURITY"),"DD/MM/YYYY")="#N/A Field Not Applicable"),"Perp",_xll.BDP(AI2,"DS252"))</f>
        <v>29.4839151266256</v>
      </c>
      <c r="AT2" s="5" t="str">
        <f>(IF(_xll.BDP($AI2&amp;" ISIN","DT247")="Y","Yes","No"))</f>
        <v>No</v>
      </c>
      <c r="AU2" s="5" t="str">
        <f>PROPER(IF(OR(_xll.BDP($AI2,"CPN_TYP")="#n/a N/A",_xll.BDP($AI2,"CPN_TYP")= "#N/A FIELD NOT APPLICABLE"), " ", _xll.BDP($AI2,"CPN_TYP")))</f>
        <v>Fixed</v>
      </c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27" t="str">
        <f t="shared" ref="BG2:BG38" si="9">G2</f>
        <v>XS2907245208</v>
      </c>
      <c r="BH2" s="36">
        <v>45581</v>
      </c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5"/>
      <c r="JX2" s="15"/>
      <c r="JY2" s="15"/>
      <c r="JZ2" s="15"/>
      <c r="KA2" s="15"/>
      <c r="KB2" s="15"/>
      <c r="KC2" s="15"/>
      <c r="KD2" s="15"/>
      <c r="KE2" s="15"/>
      <c r="KF2" s="15"/>
      <c r="KG2" s="15"/>
      <c r="KH2" s="15"/>
      <c r="KI2" s="15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5"/>
      <c r="KV2" s="15"/>
      <c r="KW2" s="15"/>
      <c r="KX2" s="15"/>
      <c r="KY2" s="15"/>
      <c r="KZ2" s="15"/>
      <c r="LA2" s="15"/>
      <c r="LB2" s="15"/>
      <c r="LC2" s="15"/>
      <c r="LD2" s="15"/>
      <c r="LE2" s="15"/>
      <c r="LF2" s="15"/>
      <c r="LG2" s="15"/>
      <c r="LH2" s="15"/>
      <c r="LI2" s="15"/>
      <c r="LJ2" s="15"/>
      <c r="LK2" s="15"/>
      <c r="LL2" s="15"/>
      <c r="LM2" s="15"/>
      <c r="LN2" s="15"/>
      <c r="LO2" s="15"/>
      <c r="LP2" s="15"/>
      <c r="LQ2" s="15"/>
      <c r="LR2" s="15"/>
      <c r="LS2" s="15"/>
      <c r="LT2" s="15"/>
      <c r="LU2" s="15"/>
      <c r="LV2" s="15"/>
      <c r="LW2" s="15"/>
      <c r="LX2" s="15"/>
      <c r="LY2" s="15"/>
      <c r="LZ2" s="15"/>
      <c r="MA2" s="15"/>
      <c r="MB2" s="15"/>
      <c r="MC2" s="15"/>
      <c r="MD2" s="15"/>
      <c r="ME2" s="15"/>
      <c r="MF2" s="15"/>
      <c r="MG2" s="15"/>
      <c r="MH2" s="15"/>
      <c r="MI2" s="15"/>
      <c r="MJ2" s="15"/>
      <c r="MK2" s="15"/>
      <c r="ML2" s="15"/>
      <c r="MM2" s="15"/>
      <c r="MN2" s="15"/>
      <c r="MO2" s="15"/>
      <c r="MP2" s="15"/>
      <c r="MQ2" s="15"/>
      <c r="MR2" s="15"/>
      <c r="MS2" s="15"/>
      <c r="MT2" s="15"/>
      <c r="MU2" s="15"/>
      <c r="MV2" s="15"/>
      <c r="MW2" s="15"/>
      <c r="MX2" s="15"/>
      <c r="MY2" s="15"/>
      <c r="MZ2" s="15"/>
      <c r="NA2" s="15"/>
      <c r="NB2" s="15"/>
      <c r="NC2" s="15"/>
      <c r="ND2" s="15"/>
      <c r="NE2" s="15"/>
      <c r="NF2" s="15"/>
      <c r="NG2" s="15"/>
      <c r="NH2" s="15"/>
      <c r="NI2" s="15"/>
      <c r="NJ2" s="15"/>
      <c r="NK2" s="15"/>
      <c r="NL2" s="15"/>
      <c r="NM2" s="15"/>
      <c r="NN2" s="15"/>
      <c r="NO2" s="15"/>
      <c r="NP2" s="15"/>
      <c r="NQ2" s="15"/>
      <c r="NR2" s="15"/>
      <c r="NS2" s="15"/>
      <c r="NT2" s="15"/>
      <c r="NU2" s="15"/>
      <c r="NV2" s="15"/>
      <c r="NW2" s="15"/>
      <c r="NX2" s="15"/>
      <c r="NY2" s="15"/>
      <c r="NZ2" s="15"/>
      <c r="OA2" s="15"/>
      <c r="OB2" s="15"/>
      <c r="OC2" s="15"/>
      <c r="OD2" s="15"/>
      <c r="OE2" s="15"/>
      <c r="OF2" s="15"/>
      <c r="OG2" s="15"/>
      <c r="OH2" s="15"/>
      <c r="OI2" s="15"/>
      <c r="OJ2" s="15"/>
      <c r="OK2" s="15"/>
      <c r="OL2" s="15"/>
      <c r="OM2" s="15"/>
      <c r="ON2" s="15"/>
      <c r="OO2" s="15"/>
      <c r="OP2" s="15"/>
      <c r="OQ2" s="15"/>
      <c r="OR2" s="15"/>
      <c r="OS2" s="15"/>
      <c r="OT2" s="15"/>
      <c r="OU2" s="15"/>
      <c r="OV2" s="15"/>
      <c r="OW2" s="15"/>
      <c r="OX2" s="15"/>
      <c r="OY2" s="15"/>
      <c r="OZ2" s="15"/>
      <c r="PA2" s="15"/>
      <c r="PB2" s="15"/>
      <c r="PC2" s="15"/>
      <c r="PD2" s="15"/>
      <c r="PE2" s="15"/>
      <c r="PF2" s="15"/>
      <c r="PG2" s="15"/>
      <c r="PH2" s="15"/>
      <c r="PI2" s="15"/>
      <c r="PJ2" s="15"/>
      <c r="PK2" s="15"/>
      <c r="PL2" s="15"/>
      <c r="PM2" s="15"/>
      <c r="PN2" s="15"/>
      <c r="PO2" s="15"/>
      <c r="PP2" s="15"/>
      <c r="PQ2" s="15"/>
      <c r="PR2" s="15"/>
      <c r="PS2" s="15"/>
      <c r="PT2" s="15"/>
      <c r="PU2" s="15"/>
      <c r="PV2" s="15"/>
      <c r="PW2" s="15"/>
      <c r="PX2" s="15"/>
      <c r="PY2" s="15"/>
      <c r="PZ2" s="15"/>
      <c r="QA2" s="15"/>
      <c r="QB2" s="15"/>
      <c r="QC2" s="15"/>
      <c r="QD2" s="15"/>
      <c r="QE2" s="15"/>
      <c r="QF2" s="15"/>
      <c r="QG2" s="15"/>
      <c r="QH2" s="15"/>
      <c r="QI2" s="15"/>
      <c r="QJ2" s="15"/>
      <c r="QK2" s="15"/>
      <c r="QL2" s="15"/>
      <c r="QM2" s="15"/>
      <c r="QN2" s="15"/>
      <c r="QO2" s="15"/>
      <c r="QP2" s="15"/>
      <c r="QQ2" s="15"/>
      <c r="QR2" s="15"/>
      <c r="QS2" s="15"/>
      <c r="QT2" s="15"/>
      <c r="QU2" s="15"/>
      <c r="QV2" s="15"/>
      <c r="QW2" s="15"/>
      <c r="QX2" s="15"/>
      <c r="QY2" s="15"/>
      <c r="QZ2" s="15"/>
      <c r="RA2" s="15"/>
      <c r="RB2" s="15"/>
      <c r="RC2" s="15"/>
      <c r="RD2" s="15"/>
      <c r="RE2" s="15"/>
      <c r="RF2" s="15"/>
      <c r="RG2" s="15"/>
      <c r="RH2" s="15"/>
      <c r="RI2" s="15"/>
      <c r="RJ2" s="15"/>
      <c r="RK2" s="15"/>
      <c r="RL2" s="15"/>
      <c r="RM2" s="15"/>
      <c r="RN2" s="15"/>
      <c r="RO2" s="15"/>
      <c r="RP2" s="15"/>
      <c r="RQ2" s="15"/>
      <c r="RR2" s="15"/>
      <c r="RS2" s="15"/>
      <c r="RT2" s="15"/>
      <c r="RU2" s="15"/>
      <c r="RV2" s="15"/>
      <c r="RW2" s="15"/>
      <c r="RX2" s="15"/>
      <c r="RY2" s="15"/>
      <c r="RZ2" s="15"/>
      <c r="SA2" s="15"/>
      <c r="SB2" s="15"/>
      <c r="SC2" s="15"/>
      <c r="SD2" s="15"/>
      <c r="SE2" s="15"/>
      <c r="SF2" s="15"/>
      <c r="SG2" s="15"/>
      <c r="SH2" s="15"/>
      <c r="SI2" s="15"/>
      <c r="SJ2" s="15"/>
      <c r="SK2" s="15"/>
      <c r="SL2" s="15"/>
      <c r="SM2" s="15"/>
      <c r="SN2" s="15"/>
      <c r="SO2" s="15"/>
      <c r="SP2" s="15"/>
      <c r="SQ2" s="15"/>
      <c r="SR2" s="15"/>
      <c r="SS2" s="15"/>
      <c r="ST2" s="15"/>
      <c r="SU2" s="15"/>
      <c r="SV2" s="15"/>
      <c r="SW2" s="15"/>
      <c r="SX2" s="15"/>
      <c r="SY2" s="15"/>
      <c r="SZ2" s="15"/>
      <c r="TA2" s="15"/>
      <c r="TB2" s="15"/>
      <c r="TC2" s="15"/>
      <c r="TD2" s="15"/>
      <c r="TE2" s="15"/>
      <c r="TF2" s="15"/>
      <c r="TG2" s="15"/>
      <c r="TH2" s="15"/>
      <c r="TI2" s="15"/>
      <c r="TJ2" s="15"/>
      <c r="TK2" s="15"/>
      <c r="TL2" s="15"/>
      <c r="TM2" s="15"/>
      <c r="TN2" s="15"/>
      <c r="TO2" s="15"/>
      <c r="TP2" s="15"/>
      <c r="TQ2" s="15"/>
      <c r="TR2" s="15"/>
      <c r="TS2" s="15"/>
      <c r="TT2" s="15"/>
      <c r="TU2" s="15"/>
      <c r="TV2" s="15"/>
      <c r="TW2" s="15"/>
      <c r="TX2" s="15"/>
      <c r="TY2" s="15"/>
      <c r="TZ2" s="15"/>
      <c r="UA2" s="15"/>
      <c r="UB2" s="15"/>
      <c r="UC2" s="15"/>
      <c r="UD2" s="15"/>
      <c r="UE2" s="15"/>
      <c r="UF2" s="15"/>
      <c r="UG2" s="15"/>
      <c r="UH2" s="15"/>
      <c r="UI2" s="15"/>
      <c r="UJ2" s="15"/>
      <c r="UK2" s="15"/>
      <c r="UL2" s="15"/>
      <c r="UM2" s="15"/>
      <c r="UN2" s="15"/>
      <c r="UO2" s="15"/>
      <c r="UP2" s="15"/>
      <c r="UQ2" s="15"/>
      <c r="UR2" s="15"/>
      <c r="US2" s="15"/>
      <c r="UT2" s="15"/>
      <c r="UU2" s="15"/>
      <c r="UV2" s="15"/>
      <c r="UW2" s="15"/>
      <c r="UX2" s="15"/>
      <c r="UY2" s="15"/>
      <c r="UZ2" s="15"/>
      <c r="VA2" s="15"/>
      <c r="VB2" s="15"/>
      <c r="VC2" s="15"/>
      <c r="VD2" s="15"/>
      <c r="VE2" s="15"/>
      <c r="VF2" s="15"/>
      <c r="VG2" s="15"/>
      <c r="VH2" s="15"/>
      <c r="VI2" s="15"/>
      <c r="VJ2" s="15"/>
      <c r="VK2" s="15"/>
      <c r="VL2" s="15"/>
      <c r="VM2" s="15"/>
      <c r="VN2" s="15"/>
      <c r="VO2" s="15"/>
      <c r="VP2" s="15"/>
      <c r="VQ2" s="15"/>
      <c r="VR2" s="15"/>
      <c r="VS2" s="15"/>
      <c r="VT2" s="15"/>
      <c r="VU2" s="15"/>
      <c r="VV2" s="15"/>
      <c r="VW2" s="15"/>
      <c r="VX2" s="15"/>
      <c r="VY2" s="15"/>
      <c r="VZ2" s="15"/>
      <c r="WA2" s="15"/>
      <c r="WB2" s="15"/>
      <c r="WC2" s="15"/>
      <c r="WD2" s="15"/>
      <c r="WE2" s="15"/>
      <c r="WF2" s="15"/>
      <c r="WG2" s="15"/>
      <c r="WH2" s="15"/>
      <c r="WI2" s="15"/>
      <c r="WJ2" s="15"/>
      <c r="WK2" s="15"/>
      <c r="WL2" s="15"/>
      <c r="WM2" s="15"/>
      <c r="WN2" s="15"/>
      <c r="WO2" s="15"/>
      <c r="WP2" s="15"/>
      <c r="WQ2" s="15"/>
      <c r="WR2" s="15"/>
      <c r="WS2" s="15"/>
      <c r="WT2" s="15"/>
      <c r="WU2" s="15"/>
      <c r="WV2" s="15"/>
      <c r="WW2" s="15"/>
      <c r="WX2" s="15"/>
      <c r="WY2" s="15"/>
      <c r="WZ2" s="15"/>
      <c r="XA2" s="15"/>
      <c r="XB2" s="15"/>
      <c r="XC2" s="15"/>
      <c r="XD2" s="15"/>
      <c r="XE2" s="15"/>
      <c r="XF2" s="15"/>
      <c r="XG2" s="15"/>
      <c r="XH2" s="15"/>
      <c r="XI2" s="15"/>
      <c r="XJ2" s="15"/>
      <c r="XK2" s="15"/>
      <c r="XL2" s="15"/>
      <c r="XM2" s="15"/>
      <c r="XN2" s="15"/>
      <c r="XO2" s="15"/>
      <c r="XP2" s="15"/>
      <c r="XQ2" s="15"/>
      <c r="XR2" s="15"/>
      <c r="XS2" s="15"/>
      <c r="XT2" s="15"/>
      <c r="XU2" s="15"/>
      <c r="XV2" s="15"/>
      <c r="XW2" s="15"/>
      <c r="XX2" s="15"/>
      <c r="XY2" s="15"/>
      <c r="XZ2" s="15"/>
      <c r="YA2" s="15"/>
      <c r="YB2" s="15"/>
      <c r="YC2" s="15"/>
      <c r="YD2" s="15"/>
      <c r="YE2" s="15"/>
      <c r="YF2" s="15"/>
      <c r="YG2" s="15"/>
      <c r="YH2" s="15"/>
      <c r="YI2" s="15"/>
      <c r="YJ2" s="15"/>
      <c r="YK2" s="15"/>
      <c r="YL2" s="15"/>
      <c r="YM2" s="15"/>
      <c r="YN2" s="15"/>
      <c r="YO2" s="15"/>
      <c r="YP2" s="15"/>
      <c r="YQ2" s="15"/>
      <c r="YR2" s="15"/>
      <c r="YS2" s="15"/>
      <c r="YT2" s="15"/>
      <c r="YU2" s="15"/>
      <c r="YV2" s="15"/>
      <c r="YW2" s="15"/>
      <c r="YX2" s="15"/>
      <c r="YY2" s="15"/>
      <c r="YZ2" s="15"/>
      <c r="ZA2" s="15"/>
      <c r="ZB2" s="15"/>
      <c r="ZC2" s="15"/>
      <c r="ZD2" s="15"/>
      <c r="ZE2" s="15"/>
      <c r="ZF2" s="15"/>
      <c r="ZG2" s="15"/>
      <c r="ZH2" s="15"/>
      <c r="ZI2" s="15"/>
      <c r="ZJ2" s="15"/>
      <c r="ZK2" s="15"/>
      <c r="ZL2" s="15"/>
      <c r="ZM2" s="15"/>
      <c r="ZN2" s="15"/>
      <c r="ZO2" s="15"/>
      <c r="ZP2" s="15"/>
      <c r="ZQ2" s="15"/>
      <c r="ZR2" s="15"/>
      <c r="ZS2" s="15"/>
      <c r="ZT2" s="15"/>
      <c r="ZU2" s="15"/>
      <c r="ZV2" s="15"/>
      <c r="ZW2" s="15"/>
      <c r="ZX2" s="15"/>
      <c r="ZY2" s="15"/>
      <c r="ZZ2" s="15"/>
      <c r="AAA2" s="15"/>
      <c r="AAB2" s="15"/>
      <c r="AAC2" s="15"/>
      <c r="AAD2" s="15"/>
      <c r="AAE2" s="15"/>
      <c r="AAF2" s="15"/>
      <c r="AAG2" s="15"/>
      <c r="AAH2" s="15"/>
      <c r="AAI2" s="15"/>
      <c r="AAJ2" s="15"/>
      <c r="AAK2" s="15"/>
      <c r="AAL2" s="15"/>
      <c r="AAM2" s="15"/>
      <c r="AAN2" s="15"/>
      <c r="AAO2" s="15"/>
      <c r="AAP2" s="15"/>
      <c r="AAQ2" s="15"/>
      <c r="AAR2" s="15"/>
      <c r="AAS2" s="15"/>
      <c r="AAT2" s="15"/>
      <c r="AAU2" s="15"/>
      <c r="AAV2" s="15"/>
      <c r="AAW2" s="15"/>
      <c r="AAX2" s="15"/>
      <c r="AAY2" s="15"/>
      <c r="AAZ2" s="15"/>
      <c r="ABA2" s="15"/>
      <c r="ABB2" s="15"/>
      <c r="ABC2" s="15"/>
      <c r="ABD2" s="15"/>
      <c r="ABE2" s="15"/>
      <c r="ABF2" s="15"/>
      <c r="ABG2" s="15"/>
      <c r="ABH2" s="15"/>
      <c r="ABI2" s="15"/>
      <c r="ABJ2" s="15"/>
      <c r="ABK2" s="15"/>
      <c r="ABL2" s="15"/>
      <c r="ABM2" s="15"/>
      <c r="ABN2" s="15"/>
      <c r="ABO2" s="15"/>
      <c r="ABP2" s="15"/>
      <c r="ABQ2" s="15"/>
      <c r="ABR2" s="15"/>
      <c r="ABS2" s="15"/>
      <c r="ABT2" s="15"/>
      <c r="ABU2" s="15"/>
      <c r="ABV2" s="15"/>
      <c r="ABW2" s="15"/>
      <c r="ABX2" s="15"/>
      <c r="ABY2" s="15"/>
      <c r="ABZ2" s="15"/>
      <c r="ACA2" s="15"/>
      <c r="ACB2" s="15"/>
      <c r="ACC2" s="15"/>
      <c r="ACD2" s="15"/>
      <c r="ACE2" s="15"/>
      <c r="ACF2" s="15"/>
      <c r="ACG2" s="15"/>
      <c r="ACH2" s="15"/>
      <c r="ACI2" s="15"/>
      <c r="ACJ2" s="15"/>
      <c r="ACK2" s="15"/>
      <c r="ACL2" s="15"/>
      <c r="ACM2" s="15"/>
      <c r="ACN2" s="15"/>
      <c r="ACO2" s="15"/>
      <c r="ACP2" s="15"/>
      <c r="ACQ2" s="15"/>
      <c r="ACR2" s="15"/>
      <c r="ACS2" s="15"/>
      <c r="ACT2" s="15"/>
      <c r="ACU2" s="15"/>
      <c r="ACV2" s="15"/>
      <c r="ACW2" s="15"/>
      <c r="ACX2" s="15"/>
      <c r="ACY2" s="15"/>
      <c r="ACZ2" s="15"/>
      <c r="ADA2" s="15"/>
      <c r="ADB2" s="15"/>
      <c r="ADC2" s="15"/>
      <c r="ADD2" s="15"/>
      <c r="ADE2" s="15"/>
      <c r="ADF2" s="15"/>
      <c r="ADG2" s="15"/>
      <c r="ADH2" s="15"/>
      <c r="ADI2" s="15"/>
      <c r="ADJ2" s="15"/>
      <c r="ADK2" s="15"/>
      <c r="ADL2" s="15"/>
      <c r="ADM2" s="15"/>
      <c r="ADN2" s="15"/>
      <c r="ADO2" s="15"/>
      <c r="ADP2" s="15"/>
      <c r="ADQ2" s="15"/>
      <c r="ADR2" s="15"/>
      <c r="ADS2" s="15"/>
      <c r="ADT2" s="15"/>
      <c r="ADU2" s="15"/>
      <c r="ADV2" s="15"/>
      <c r="ADW2" s="15"/>
      <c r="ADX2" s="15"/>
      <c r="ADY2" s="15"/>
      <c r="ADZ2" s="15"/>
      <c r="AEA2" s="15"/>
      <c r="AEB2" s="15"/>
      <c r="AEC2" s="15"/>
      <c r="AED2" s="15"/>
      <c r="AEE2" s="15"/>
      <c r="AEF2" s="15"/>
      <c r="AEG2" s="15"/>
      <c r="AEH2" s="15"/>
      <c r="AEI2" s="15"/>
      <c r="AEJ2" s="15"/>
      <c r="AEK2" s="15"/>
      <c r="AEL2" s="15"/>
      <c r="AEM2" s="15"/>
      <c r="AEN2" s="15"/>
      <c r="AEO2" s="15"/>
      <c r="AEP2" s="15"/>
      <c r="AEQ2" s="15"/>
      <c r="AER2" s="15"/>
      <c r="AES2" s="15"/>
      <c r="AET2" s="15"/>
      <c r="AEU2" s="15"/>
      <c r="AEV2" s="15"/>
      <c r="AEW2" s="15"/>
      <c r="AEX2" s="15"/>
      <c r="AEY2" s="15"/>
      <c r="AEZ2" s="15"/>
      <c r="AFA2" s="15"/>
      <c r="AFB2" s="15"/>
      <c r="AFC2" s="15"/>
      <c r="AFD2" s="15"/>
      <c r="AFE2" s="15"/>
      <c r="AFF2" s="15"/>
      <c r="AFG2" s="15"/>
      <c r="AFH2" s="15"/>
      <c r="AFI2" s="15"/>
      <c r="AFJ2" s="15"/>
      <c r="AFK2" s="15"/>
      <c r="AFL2" s="15"/>
      <c r="AFM2" s="15"/>
      <c r="AFN2" s="15"/>
      <c r="AFO2" s="15"/>
      <c r="AFP2" s="15"/>
      <c r="AFQ2" s="15"/>
      <c r="AFR2" s="15"/>
      <c r="AFS2" s="15"/>
      <c r="AFT2" s="15"/>
      <c r="AFU2" s="15"/>
      <c r="AFV2" s="15"/>
      <c r="AFW2" s="15"/>
      <c r="AFX2" s="15"/>
      <c r="AFY2" s="15"/>
      <c r="AFZ2" s="15"/>
      <c r="AGA2" s="15"/>
      <c r="AGB2" s="15"/>
      <c r="AGC2" s="15"/>
      <c r="AGD2" s="15"/>
      <c r="AGE2" s="15"/>
      <c r="AGF2" s="15"/>
      <c r="AGG2" s="15"/>
      <c r="AGH2" s="15"/>
      <c r="AGI2" s="15"/>
      <c r="AGJ2" s="15"/>
      <c r="AGK2" s="15"/>
      <c r="AGL2" s="15"/>
      <c r="AGM2" s="15"/>
      <c r="AGN2" s="15"/>
      <c r="AGO2" s="15"/>
      <c r="AGP2" s="15"/>
      <c r="AGQ2" s="15"/>
      <c r="AGR2" s="15"/>
      <c r="AGS2" s="15"/>
      <c r="AGT2" s="15"/>
      <c r="AGU2" s="15"/>
      <c r="AGV2" s="15"/>
      <c r="AGW2" s="15"/>
      <c r="AGX2" s="15"/>
      <c r="AGY2" s="15"/>
      <c r="AGZ2" s="15"/>
      <c r="AHA2" s="15"/>
      <c r="AHB2" s="15"/>
      <c r="AHC2" s="15"/>
      <c r="AHD2" s="15"/>
      <c r="AHE2" s="15"/>
      <c r="AHF2" s="15"/>
      <c r="AHG2" s="15"/>
      <c r="AHH2" s="15"/>
      <c r="AHI2" s="15"/>
      <c r="AHJ2" s="15"/>
      <c r="AHK2" s="15"/>
      <c r="AHL2" s="15"/>
      <c r="AHM2" s="15"/>
      <c r="AHN2" s="15"/>
      <c r="AHO2" s="15"/>
      <c r="AHP2" s="15"/>
      <c r="AHQ2" s="15"/>
      <c r="AHR2" s="15"/>
      <c r="AHS2" s="15"/>
      <c r="AHT2" s="15"/>
      <c r="AHU2" s="15"/>
      <c r="AHV2" s="15"/>
      <c r="AHW2" s="15"/>
      <c r="AHX2" s="15"/>
      <c r="AHY2" s="15"/>
      <c r="AHZ2" s="15"/>
      <c r="AIA2" s="15"/>
      <c r="AIB2" s="15"/>
      <c r="AIC2" s="15"/>
      <c r="AID2" s="15"/>
      <c r="AIE2" s="15"/>
      <c r="AIF2" s="15"/>
      <c r="AIG2" s="15"/>
      <c r="AIH2" s="15"/>
      <c r="AII2" s="15"/>
      <c r="AIJ2" s="15"/>
      <c r="AIK2" s="15"/>
      <c r="AIL2" s="15"/>
      <c r="AIM2" s="15"/>
      <c r="AIN2" s="15"/>
      <c r="AIO2" s="15"/>
      <c r="AIP2" s="15"/>
      <c r="AIQ2" s="15"/>
      <c r="AIR2" s="15"/>
      <c r="AIS2" s="15"/>
      <c r="AIT2" s="15"/>
      <c r="AIU2" s="15"/>
      <c r="AIV2" s="15"/>
      <c r="AIW2" s="15"/>
      <c r="AIX2" s="15"/>
      <c r="AIY2" s="15"/>
      <c r="AIZ2" s="15"/>
      <c r="AJA2" s="15"/>
      <c r="AJB2" s="15"/>
      <c r="AJC2" s="15"/>
      <c r="AJD2" s="15"/>
      <c r="AJE2" s="15"/>
      <c r="AJF2" s="15"/>
      <c r="AJG2" s="15"/>
      <c r="AJH2" s="15"/>
      <c r="AJI2" s="15"/>
      <c r="AJJ2" s="15"/>
      <c r="AJK2" s="15"/>
      <c r="AJL2" s="15"/>
      <c r="AJM2" s="15"/>
      <c r="AJN2" s="15"/>
      <c r="AJO2" s="15"/>
      <c r="AJP2" s="15"/>
      <c r="AJQ2" s="15"/>
      <c r="AJR2" s="15"/>
      <c r="AJS2" s="15"/>
      <c r="AJT2" s="15"/>
      <c r="AJU2" s="15"/>
      <c r="AJV2" s="15"/>
      <c r="AJW2" s="15"/>
      <c r="AJX2" s="15"/>
      <c r="AJY2" s="15"/>
      <c r="AJZ2" s="15"/>
      <c r="AKA2" s="15"/>
      <c r="AKB2" s="15"/>
      <c r="AKC2" s="15"/>
      <c r="AKD2" s="15"/>
      <c r="AKE2" s="15"/>
      <c r="AKF2" s="15"/>
      <c r="AKG2" s="15"/>
      <c r="AKH2" s="15"/>
      <c r="AKI2" s="15"/>
      <c r="AKJ2" s="15"/>
      <c r="AKK2" s="15"/>
      <c r="AKL2" s="15"/>
      <c r="AKM2" s="15"/>
      <c r="AKN2" s="15"/>
      <c r="AKO2" s="15"/>
      <c r="AKP2" s="15"/>
      <c r="AKQ2" s="15"/>
      <c r="AKR2" s="15"/>
      <c r="AKS2" s="15"/>
      <c r="AKT2" s="15"/>
      <c r="AKU2" s="15"/>
      <c r="AKV2" s="15"/>
      <c r="AKW2" s="15"/>
      <c r="AKX2" s="15"/>
      <c r="AKY2" s="15"/>
      <c r="AKZ2" s="15"/>
      <c r="ALA2" s="15"/>
      <c r="ALB2" s="15"/>
      <c r="ALC2" s="15"/>
      <c r="ALD2" s="15"/>
      <c r="ALE2" s="15"/>
      <c r="ALF2" s="15"/>
      <c r="ALG2" s="15"/>
      <c r="ALH2" s="15"/>
      <c r="ALI2" s="15"/>
      <c r="ALJ2" s="15"/>
      <c r="ALK2" s="15"/>
      <c r="ALL2" s="15"/>
      <c r="ALM2" s="15"/>
      <c r="ALN2" s="15"/>
      <c r="ALO2" s="15"/>
      <c r="ALP2" s="15"/>
      <c r="ALQ2" s="15"/>
      <c r="ALR2" s="15"/>
      <c r="ALS2" s="15"/>
      <c r="ALT2" s="15"/>
      <c r="ALU2" s="15"/>
      <c r="ALV2" s="15"/>
      <c r="ALW2" s="15"/>
      <c r="ALX2" s="15"/>
      <c r="ALY2" s="15"/>
      <c r="ALZ2" s="15"/>
      <c r="AMA2" s="15"/>
      <c r="AMB2" s="15"/>
      <c r="AMC2" s="15"/>
      <c r="AMD2" s="15"/>
      <c r="AME2" s="15"/>
      <c r="AMF2" s="15"/>
      <c r="AMG2" s="15"/>
      <c r="AMH2" s="15"/>
      <c r="AMI2" s="15"/>
      <c r="AMJ2" s="15"/>
      <c r="AMK2" s="15"/>
      <c r="AML2" s="15"/>
      <c r="AMM2" s="15"/>
      <c r="AMN2" s="15"/>
      <c r="AMO2" s="15"/>
      <c r="AMP2" s="15"/>
      <c r="AMQ2" s="15"/>
      <c r="AMR2" s="15"/>
      <c r="AMS2" s="15"/>
      <c r="AMT2" s="15"/>
      <c r="AMU2" s="15"/>
      <c r="AMV2" s="15"/>
      <c r="AMW2" s="15"/>
      <c r="AMX2" s="15"/>
      <c r="AMY2" s="15"/>
      <c r="AMZ2" s="15"/>
      <c r="ANA2" s="15"/>
      <c r="ANB2" s="15"/>
      <c r="ANC2" s="15"/>
      <c r="AND2" s="15"/>
      <c r="ANE2" s="15"/>
      <c r="ANF2" s="15"/>
      <c r="ANG2" s="15"/>
      <c r="ANH2" s="15"/>
      <c r="ANI2" s="15"/>
      <c r="ANJ2" s="15"/>
      <c r="ANK2" s="15"/>
      <c r="ANL2" s="15"/>
      <c r="ANM2" s="15"/>
      <c r="ANN2" s="15"/>
      <c r="ANO2" s="15"/>
      <c r="ANP2" s="15"/>
      <c r="ANQ2" s="15"/>
      <c r="ANR2" s="15"/>
      <c r="ANS2" s="15"/>
      <c r="ANT2" s="15"/>
      <c r="ANU2" s="15"/>
      <c r="ANV2" s="15"/>
      <c r="ANW2" s="15"/>
      <c r="ANX2" s="15"/>
      <c r="ANY2" s="15"/>
      <c r="ANZ2" s="15"/>
      <c r="AOA2" s="15"/>
      <c r="AOB2" s="15"/>
      <c r="AOC2" s="15"/>
      <c r="AOD2" s="15"/>
      <c r="AOE2" s="15"/>
      <c r="AOF2" s="15"/>
      <c r="AOG2" s="15"/>
      <c r="AOH2" s="15"/>
      <c r="AOI2" s="15"/>
      <c r="AOJ2" s="15"/>
      <c r="AOK2" s="15"/>
      <c r="AOL2" s="15"/>
      <c r="AOM2" s="15"/>
      <c r="AON2" s="15"/>
      <c r="AOO2" s="15"/>
      <c r="AOP2" s="15"/>
      <c r="AOQ2" s="15"/>
      <c r="AOR2" s="15"/>
      <c r="AOS2" s="15"/>
      <c r="AOT2" s="15"/>
      <c r="AOU2" s="15"/>
      <c r="AOV2" s="15"/>
      <c r="AOW2" s="15"/>
      <c r="AOX2" s="15"/>
      <c r="AOY2" s="15"/>
      <c r="AOZ2" s="15"/>
      <c r="APA2" s="15"/>
      <c r="APB2" s="15"/>
      <c r="APC2" s="15"/>
      <c r="APD2" s="15"/>
      <c r="APE2" s="15"/>
      <c r="APF2" s="15"/>
      <c r="APG2" s="15"/>
      <c r="APH2" s="15"/>
      <c r="API2" s="15"/>
      <c r="APJ2" s="15"/>
      <c r="APK2" s="15"/>
      <c r="APL2" s="15"/>
      <c r="APM2" s="15"/>
      <c r="APN2" s="15"/>
      <c r="APO2" s="15"/>
      <c r="APP2" s="15"/>
      <c r="APQ2" s="15"/>
      <c r="APR2" s="15"/>
      <c r="APS2" s="15"/>
      <c r="APT2" s="15"/>
      <c r="APU2" s="15"/>
      <c r="APV2" s="15"/>
      <c r="APW2" s="15"/>
      <c r="APX2" s="15"/>
      <c r="APY2" s="15"/>
      <c r="APZ2" s="15"/>
      <c r="AQA2" s="15"/>
      <c r="AQB2" s="15"/>
      <c r="AQC2" s="15"/>
      <c r="AQD2" s="15"/>
      <c r="AQE2" s="15"/>
      <c r="AQF2" s="15"/>
      <c r="AQG2" s="15"/>
      <c r="AQH2" s="15"/>
      <c r="AQI2" s="15"/>
      <c r="AQJ2" s="15"/>
      <c r="AQK2" s="15"/>
      <c r="AQL2" s="15"/>
      <c r="AQM2" s="15"/>
      <c r="AQN2" s="15"/>
      <c r="AQO2" s="15"/>
      <c r="AQP2" s="15"/>
      <c r="AQQ2" s="15"/>
      <c r="AQR2" s="15"/>
      <c r="AQS2" s="15"/>
      <c r="AQT2" s="15"/>
      <c r="AQU2" s="15"/>
      <c r="AQV2" s="15"/>
      <c r="AQW2" s="15"/>
      <c r="AQX2" s="15"/>
      <c r="AQY2" s="15"/>
      <c r="AQZ2" s="15"/>
      <c r="ARA2" s="15"/>
      <c r="ARB2" s="15"/>
      <c r="ARC2" s="15"/>
      <c r="ARD2" s="15"/>
      <c r="ARE2" s="15"/>
      <c r="ARF2" s="15"/>
      <c r="ARG2" s="15"/>
      <c r="ARH2" s="15"/>
      <c r="ARI2" s="15"/>
      <c r="ARJ2" s="15"/>
      <c r="ARK2" s="15"/>
      <c r="ARL2" s="15"/>
      <c r="ARM2" s="15"/>
      <c r="ARN2" s="15"/>
      <c r="ARO2" s="15"/>
      <c r="ARP2" s="15"/>
      <c r="ARQ2" s="15"/>
      <c r="ARR2" s="15"/>
      <c r="ARS2" s="15"/>
      <c r="ART2" s="15"/>
      <c r="ARU2" s="15"/>
      <c r="ARV2" s="15"/>
      <c r="ARW2" s="15"/>
      <c r="ARX2" s="15"/>
      <c r="ARY2" s="15"/>
      <c r="ARZ2" s="15"/>
      <c r="ASA2" s="15"/>
      <c r="ASB2" s="15"/>
      <c r="ASC2" s="15"/>
      <c r="ASD2" s="15"/>
      <c r="ASE2" s="15"/>
      <c r="ASF2" s="15"/>
      <c r="ASG2" s="15"/>
      <c r="ASH2" s="15"/>
      <c r="ASI2" s="15"/>
      <c r="ASJ2" s="15"/>
      <c r="ASK2" s="15"/>
      <c r="ASL2" s="15"/>
      <c r="ASM2" s="15"/>
      <c r="ASN2" s="15"/>
      <c r="ASO2" s="15"/>
      <c r="ASP2" s="15"/>
      <c r="ASQ2" s="15"/>
      <c r="ASR2" s="15"/>
      <c r="ASS2" s="15"/>
      <c r="AST2" s="15"/>
      <c r="ASU2" s="15"/>
      <c r="ASV2" s="15"/>
      <c r="ASW2" s="15"/>
      <c r="ASX2" s="15"/>
      <c r="ASY2" s="15"/>
      <c r="ASZ2" s="15"/>
      <c r="ATA2" s="15"/>
      <c r="ATB2" s="15"/>
      <c r="ATC2" s="15"/>
      <c r="ATD2" s="15"/>
      <c r="ATE2" s="15"/>
      <c r="ATF2" s="15"/>
      <c r="ATG2" s="15"/>
      <c r="ATH2" s="15"/>
      <c r="ATI2" s="15"/>
      <c r="ATJ2" s="15"/>
      <c r="ATK2" s="15"/>
      <c r="ATL2" s="15"/>
      <c r="ATM2" s="15"/>
      <c r="ATN2" s="15"/>
      <c r="ATO2" s="15"/>
      <c r="ATP2" s="15"/>
      <c r="ATQ2" s="15"/>
      <c r="ATR2" s="15"/>
      <c r="ATS2" s="15"/>
      <c r="ATT2" s="15"/>
      <c r="ATU2" s="15"/>
      <c r="ATV2" s="15"/>
      <c r="ATW2" s="15"/>
      <c r="ATX2" s="15"/>
      <c r="ATY2" s="15"/>
      <c r="ATZ2" s="15"/>
      <c r="AUA2" s="15"/>
      <c r="AUB2" s="15"/>
      <c r="AUC2" s="15"/>
      <c r="AUD2" s="15"/>
      <c r="AUE2" s="15"/>
      <c r="AUF2" s="15"/>
      <c r="AUG2" s="15"/>
      <c r="AUH2" s="15"/>
      <c r="AUI2" s="15"/>
      <c r="AUJ2" s="15"/>
      <c r="AUK2" s="15"/>
      <c r="AUL2" s="15"/>
      <c r="AUM2" s="15"/>
      <c r="AUN2" s="15"/>
      <c r="AUO2" s="15"/>
      <c r="AUP2" s="15"/>
      <c r="AUQ2" s="15"/>
      <c r="AUR2" s="15"/>
      <c r="AUS2" s="15"/>
      <c r="AUT2" s="15"/>
      <c r="AUU2" s="15"/>
      <c r="AUV2" s="15"/>
      <c r="AUW2" s="15"/>
      <c r="AUX2" s="15"/>
      <c r="AUY2" s="15"/>
      <c r="AUZ2" s="15"/>
      <c r="AVA2" s="15"/>
      <c r="AVB2" s="15"/>
      <c r="AVC2" s="15"/>
      <c r="AVD2" s="15"/>
      <c r="AVE2" s="15"/>
      <c r="AVF2" s="15"/>
      <c r="AVG2" s="15"/>
      <c r="AVH2" s="15"/>
      <c r="AVI2" s="15"/>
      <c r="AVJ2" s="15"/>
      <c r="AVK2" s="15"/>
      <c r="AVL2" s="15"/>
      <c r="AVM2" s="15"/>
      <c r="AVN2" s="15"/>
      <c r="AVO2" s="15"/>
      <c r="AVP2" s="15"/>
      <c r="AVQ2" s="15"/>
      <c r="AVR2" s="15"/>
      <c r="AVS2" s="15"/>
      <c r="AVT2" s="15"/>
      <c r="AVU2" s="15"/>
      <c r="AVV2" s="15"/>
      <c r="AVW2" s="15"/>
      <c r="AVX2" s="15"/>
      <c r="AVY2" s="15"/>
      <c r="AVZ2" s="15"/>
      <c r="AWA2" s="15"/>
      <c r="AWB2" s="15"/>
      <c r="AWC2" s="15"/>
      <c r="AWD2" s="15"/>
      <c r="AWE2" s="15"/>
      <c r="AWF2" s="15"/>
      <c r="AWG2" s="15"/>
      <c r="AWH2" s="15"/>
      <c r="AWI2" s="15"/>
      <c r="AWJ2" s="15"/>
      <c r="AWK2" s="15"/>
      <c r="AWL2" s="15"/>
      <c r="AWM2" s="15"/>
      <c r="AWN2" s="15"/>
      <c r="AWO2" s="15"/>
      <c r="AWP2" s="15"/>
      <c r="AWQ2" s="15"/>
      <c r="AWR2" s="15"/>
      <c r="AWS2" s="15"/>
      <c r="AWT2" s="15"/>
      <c r="AWU2" s="15"/>
      <c r="AWV2" s="15"/>
      <c r="AWW2" s="15"/>
      <c r="AWX2" s="15"/>
      <c r="AWY2" s="15"/>
      <c r="AWZ2" s="15"/>
      <c r="AXA2" s="15"/>
      <c r="AXB2" s="15"/>
      <c r="AXC2" s="15"/>
      <c r="AXD2" s="15"/>
      <c r="AXE2" s="15"/>
      <c r="AXF2" s="15"/>
      <c r="AXG2" s="15"/>
      <c r="AXH2" s="15"/>
      <c r="AXI2" s="15"/>
      <c r="AXJ2" s="15"/>
      <c r="AXK2" s="15"/>
      <c r="AXL2" s="15"/>
      <c r="AXM2" s="15"/>
      <c r="AXN2" s="15"/>
      <c r="AXO2" s="15"/>
      <c r="AXP2" s="15"/>
      <c r="AXQ2" s="15"/>
      <c r="AXR2" s="15"/>
      <c r="AXS2" s="15"/>
      <c r="AXT2" s="15"/>
      <c r="AXU2" s="15"/>
      <c r="AXV2" s="15"/>
      <c r="AXW2" s="15"/>
      <c r="AXX2" s="15"/>
      <c r="AXY2" s="15"/>
      <c r="AXZ2" s="15"/>
      <c r="AYA2" s="15"/>
      <c r="AYB2" s="15"/>
      <c r="AYC2" s="15"/>
      <c r="AYD2" s="15"/>
      <c r="AYE2" s="15"/>
      <c r="AYF2" s="15"/>
      <c r="AYG2" s="15"/>
      <c r="AYH2" s="15"/>
      <c r="AYI2" s="15"/>
      <c r="AYJ2" s="15"/>
      <c r="AYK2" s="15"/>
      <c r="AYL2" s="15"/>
      <c r="AYM2" s="15"/>
      <c r="AYN2" s="15"/>
      <c r="AYO2" s="15"/>
      <c r="AYP2" s="15"/>
      <c r="AYQ2" s="15"/>
      <c r="AYR2" s="15"/>
      <c r="AYS2" s="15"/>
      <c r="AYT2" s="15"/>
      <c r="AYU2" s="15"/>
      <c r="AYV2" s="15"/>
      <c r="AYW2" s="15"/>
      <c r="AYX2" s="15"/>
      <c r="AYY2" s="15"/>
      <c r="AYZ2" s="15"/>
      <c r="AZA2" s="15"/>
      <c r="AZB2" s="15"/>
      <c r="AZC2" s="15"/>
      <c r="AZD2" s="15"/>
      <c r="AZE2" s="15"/>
      <c r="AZF2" s="15"/>
      <c r="AZG2" s="15"/>
      <c r="AZH2" s="15"/>
      <c r="AZI2" s="15"/>
      <c r="AZJ2" s="15"/>
      <c r="AZK2" s="15"/>
      <c r="AZL2" s="15"/>
      <c r="AZM2" s="15"/>
      <c r="AZN2" s="15"/>
      <c r="AZO2" s="15"/>
      <c r="AZP2" s="15"/>
      <c r="AZQ2" s="15"/>
      <c r="AZR2" s="15"/>
      <c r="AZS2" s="15"/>
      <c r="AZT2" s="15"/>
      <c r="AZU2" s="15"/>
      <c r="AZV2" s="15"/>
      <c r="AZW2" s="15"/>
      <c r="AZX2" s="15"/>
      <c r="AZY2" s="15"/>
      <c r="AZZ2" s="15"/>
      <c r="BAA2" s="15"/>
      <c r="BAB2" s="15"/>
      <c r="BAC2" s="15"/>
      <c r="BAD2" s="15"/>
      <c r="BAE2" s="15"/>
      <c r="BAF2" s="15"/>
      <c r="BAG2" s="15"/>
      <c r="BAH2" s="15"/>
      <c r="BAI2" s="15"/>
      <c r="BAJ2" s="15"/>
      <c r="BAK2" s="15"/>
      <c r="BAL2" s="15"/>
      <c r="BAM2" s="15"/>
      <c r="BAN2" s="15"/>
      <c r="BAO2" s="15"/>
      <c r="BAP2" s="15"/>
      <c r="BAQ2" s="15"/>
      <c r="BAR2" s="15"/>
      <c r="BAS2" s="15"/>
      <c r="BAT2" s="15"/>
      <c r="BAU2" s="15"/>
      <c r="BAV2" s="15"/>
      <c r="BAW2" s="15"/>
      <c r="BAX2" s="15"/>
      <c r="BAY2" s="15"/>
      <c r="BAZ2" s="15"/>
      <c r="BBA2" s="15"/>
      <c r="BBB2" s="15"/>
      <c r="BBC2" s="15"/>
      <c r="BBD2" s="15"/>
      <c r="BBE2" s="15"/>
      <c r="BBF2" s="15"/>
      <c r="BBG2" s="15"/>
      <c r="BBH2" s="15"/>
      <c r="BBI2" s="15"/>
      <c r="BBJ2" s="15"/>
      <c r="BBK2" s="15"/>
      <c r="BBL2" s="15"/>
      <c r="BBM2" s="15"/>
      <c r="BBN2" s="15"/>
      <c r="BBO2" s="15"/>
      <c r="BBP2" s="15"/>
      <c r="BBQ2" s="15"/>
      <c r="BBR2" s="15"/>
      <c r="BBS2" s="15"/>
      <c r="BBT2" s="15"/>
      <c r="BBU2" s="15"/>
      <c r="BBV2" s="15"/>
      <c r="BBW2" s="15"/>
      <c r="BBX2" s="15"/>
      <c r="BBY2" s="15"/>
      <c r="BBZ2" s="15"/>
      <c r="BCA2" s="15"/>
      <c r="BCB2" s="15"/>
      <c r="BCC2" s="15"/>
      <c r="BCD2" s="15"/>
      <c r="BCE2" s="15"/>
      <c r="BCF2" s="15"/>
      <c r="BCG2" s="15"/>
      <c r="BCH2" s="15"/>
      <c r="BCI2" s="15"/>
      <c r="BCJ2" s="15"/>
      <c r="BCK2" s="15"/>
      <c r="BCL2" s="15"/>
      <c r="BCM2" s="15"/>
      <c r="BCN2" s="15"/>
      <c r="BCO2" s="15"/>
      <c r="BCP2" s="15"/>
      <c r="BCQ2" s="15"/>
      <c r="BCR2" s="15"/>
      <c r="BCS2" s="15"/>
      <c r="BCT2" s="15"/>
      <c r="BCU2" s="15"/>
      <c r="BCV2" s="15"/>
      <c r="BCW2" s="15"/>
      <c r="BCX2" s="15"/>
      <c r="BCY2" s="15"/>
      <c r="BCZ2" s="15"/>
      <c r="BDA2" s="15"/>
      <c r="BDB2" s="15"/>
      <c r="BDC2" s="15"/>
      <c r="BDD2" s="15"/>
      <c r="BDE2" s="15"/>
      <c r="BDF2" s="15"/>
      <c r="BDG2" s="15"/>
      <c r="BDH2" s="15"/>
      <c r="BDI2" s="15"/>
      <c r="BDJ2" s="15"/>
      <c r="BDK2" s="15"/>
      <c r="BDL2" s="15"/>
      <c r="BDM2" s="15"/>
      <c r="BDN2" s="15"/>
      <c r="BDO2" s="15"/>
      <c r="BDP2" s="15"/>
      <c r="BDQ2" s="15"/>
      <c r="BDR2" s="15"/>
      <c r="BDS2" s="15"/>
      <c r="BDT2" s="15"/>
      <c r="BDU2" s="15"/>
      <c r="BDV2" s="15"/>
      <c r="BDW2" s="15"/>
      <c r="BDX2" s="15"/>
      <c r="BDY2" s="15"/>
      <c r="BDZ2" s="15"/>
      <c r="BEA2" s="15"/>
      <c r="BEB2" s="15"/>
      <c r="BEC2" s="15"/>
      <c r="BED2" s="15"/>
      <c r="BEE2" s="15"/>
      <c r="BEF2" s="15"/>
      <c r="BEG2" s="15"/>
      <c r="BEH2" s="15"/>
      <c r="BEI2" s="15"/>
      <c r="BEJ2" s="15"/>
      <c r="BEK2" s="15"/>
      <c r="BEL2" s="15"/>
      <c r="BEM2" s="15"/>
      <c r="BEN2" s="15"/>
      <c r="BEO2" s="15"/>
      <c r="BEP2" s="15"/>
      <c r="BEQ2" s="15"/>
      <c r="BER2" s="15"/>
      <c r="BES2" s="15"/>
      <c r="BET2" s="15"/>
      <c r="BEU2" s="15"/>
      <c r="BEV2" s="15"/>
      <c r="BEW2" s="15"/>
      <c r="BEX2" s="15"/>
      <c r="BEY2" s="15"/>
      <c r="BEZ2" s="15"/>
      <c r="BFA2" s="15"/>
      <c r="BFB2" s="15"/>
      <c r="BFC2" s="15"/>
      <c r="BFD2" s="15"/>
      <c r="BFE2" s="15"/>
      <c r="BFF2" s="15"/>
      <c r="BFG2" s="15"/>
      <c r="BFH2" s="15"/>
      <c r="BFI2" s="15"/>
      <c r="BFJ2" s="15"/>
      <c r="BFK2" s="15"/>
      <c r="BFL2" s="15"/>
      <c r="BFM2" s="15"/>
      <c r="BFN2" s="15"/>
      <c r="BFO2" s="15"/>
      <c r="BFP2" s="15"/>
      <c r="BFQ2" s="15"/>
      <c r="BFR2" s="15"/>
      <c r="BFS2" s="15"/>
      <c r="BFT2" s="15"/>
      <c r="BFU2" s="15"/>
      <c r="BFV2" s="15"/>
      <c r="BFW2" s="15"/>
      <c r="BFX2" s="15"/>
      <c r="BFY2" s="15"/>
      <c r="BFZ2" s="15"/>
      <c r="BGA2" s="15"/>
      <c r="BGB2" s="15"/>
      <c r="BGC2" s="15"/>
      <c r="BGD2" s="15"/>
      <c r="BGE2" s="15"/>
      <c r="BGF2" s="15"/>
      <c r="BGG2" s="15"/>
      <c r="BGH2" s="15"/>
      <c r="BGI2" s="15"/>
      <c r="BGJ2" s="15"/>
      <c r="BGK2" s="15"/>
      <c r="BGL2" s="15"/>
      <c r="BGM2" s="15"/>
      <c r="BGN2" s="15"/>
      <c r="BGO2" s="15"/>
      <c r="BGP2" s="15"/>
      <c r="BGQ2" s="15"/>
      <c r="BGR2" s="15"/>
      <c r="BGS2" s="15"/>
      <c r="BGT2" s="15"/>
      <c r="BGU2" s="15"/>
      <c r="BGV2" s="15"/>
      <c r="BGW2" s="15"/>
      <c r="BGX2" s="15"/>
      <c r="BGY2" s="15"/>
      <c r="BGZ2" s="15"/>
      <c r="BHA2" s="15"/>
      <c r="BHB2" s="15"/>
      <c r="BHC2" s="15"/>
      <c r="BHD2" s="15"/>
      <c r="BHE2" s="15"/>
      <c r="BHF2" s="15"/>
      <c r="BHG2" s="15"/>
      <c r="BHH2" s="15"/>
      <c r="BHI2" s="15"/>
      <c r="BHJ2" s="15"/>
      <c r="BHK2" s="15"/>
      <c r="BHL2" s="15"/>
      <c r="BHM2" s="15"/>
      <c r="BHN2" s="15"/>
      <c r="BHO2" s="15"/>
      <c r="BHP2" s="15"/>
      <c r="BHQ2" s="15"/>
      <c r="BHR2" s="15"/>
      <c r="BHS2" s="15"/>
      <c r="BHT2" s="15"/>
      <c r="BHU2" s="15"/>
      <c r="BHV2" s="15"/>
      <c r="BHW2" s="15"/>
      <c r="BHX2" s="15"/>
      <c r="BHY2" s="15"/>
      <c r="BHZ2" s="15"/>
      <c r="BIA2" s="15"/>
      <c r="BIB2" s="15"/>
      <c r="BIC2" s="15"/>
      <c r="BID2" s="15"/>
      <c r="BIE2" s="15"/>
      <c r="BIF2" s="15"/>
      <c r="BIG2" s="15"/>
      <c r="BIH2" s="15"/>
      <c r="BII2" s="15"/>
      <c r="BIJ2" s="15"/>
      <c r="BIK2" s="15"/>
      <c r="BIL2" s="15"/>
      <c r="BIM2" s="15"/>
      <c r="BIN2" s="15"/>
      <c r="BIO2" s="15"/>
      <c r="BIP2" s="15"/>
      <c r="BIQ2" s="15"/>
      <c r="BIR2" s="15"/>
      <c r="BIS2" s="15"/>
      <c r="BIT2" s="15"/>
      <c r="BIU2" s="15"/>
      <c r="BIV2" s="15"/>
      <c r="BIW2" s="15"/>
      <c r="BIX2" s="15"/>
      <c r="BIY2" s="15"/>
      <c r="BIZ2" s="15"/>
      <c r="BJA2" s="15"/>
      <c r="BJB2" s="15"/>
      <c r="BJC2" s="15"/>
      <c r="BJD2" s="15"/>
      <c r="BJE2" s="15"/>
      <c r="BJF2" s="15"/>
      <c r="BJG2" s="15"/>
      <c r="BJH2" s="15"/>
      <c r="BJI2" s="15"/>
      <c r="BJJ2" s="15"/>
      <c r="BJK2" s="15"/>
      <c r="BJL2" s="15"/>
      <c r="BJM2" s="15"/>
      <c r="BJN2" s="15"/>
      <c r="BJO2" s="15"/>
      <c r="BJP2" s="15"/>
      <c r="BJQ2" s="15"/>
      <c r="BJR2" s="15"/>
      <c r="BJS2" s="15"/>
      <c r="BJT2" s="15"/>
      <c r="BJU2" s="15"/>
      <c r="BJV2" s="15"/>
      <c r="BJW2" s="15"/>
      <c r="BJX2" s="15"/>
      <c r="BJY2" s="15"/>
      <c r="BJZ2" s="15"/>
      <c r="BKA2" s="15"/>
      <c r="BKB2" s="15"/>
      <c r="BKC2" s="15"/>
      <c r="BKD2" s="15"/>
      <c r="BKE2" s="15"/>
      <c r="BKF2" s="15"/>
      <c r="BKG2" s="15"/>
      <c r="BKH2" s="15"/>
      <c r="BKI2" s="15"/>
      <c r="BKJ2" s="15"/>
      <c r="BKK2" s="15"/>
      <c r="BKL2" s="15"/>
      <c r="BKM2" s="15"/>
      <c r="BKN2" s="15"/>
      <c r="BKO2" s="15"/>
      <c r="BKP2" s="15"/>
      <c r="BKQ2" s="15"/>
      <c r="BKR2" s="15"/>
      <c r="BKS2" s="15"/>
      <c r="BKT2" s="15"/>
      <c r="BKU2" s="15"/>
      <c r="BKV2" s="15"/>
      <c r="BKW2" s="15"/>
      <c r="BKX2" s="15"/>
      <c r="BKY2" s="15"/>
      <c r="BKZ2" s="15"/>
      <c r="BLA2" s="15"/>
      <c r="BLB2" s="15"/>
      <c r="BLC2" s="15"/>
      <c r="BLD2" s="15"/>
      <c r="BLE2" s="15"/>
      <c r="BLF2" s="15"/>
      <c r="BLG2" s="15"/>
      <c r="BLH2" s="15"/>
      <c r="BLI2" s="15"/>
      <c r="BLJ2" s="15"/>
      <c r="BLK2" s="15"/>
      <c r="BLL2" s="15"/>
      <c r="BLM2" s="15"/>
      <c r="BLN2" s="15"/>
      <c r="BLO2" s="15"/>
      <c r="BLP2" s="15"/>
      <c r="BLQ2" s="15"/>
      <c r="BLR2" s="15"/>
      <c r="BLS2" s="15"/>
      <c r="BLT2" s="15"/>
      <c r="BLU2" s="15"/>
      <c r="BLV2" s="15"/>
      <c r="BLW2" s="15"/>
      <c r="BLX2" s="15"/>
      <c r="BLY2" s="15"/>
      <c r="BLZ2" s="15"/>
      <c r="BMA2" s="15"/>
      <c r="BMB2" s="15"/>
      <c r="BMC2" s="15"/>
      <c r="BMD2" s="15"/>
      <c r="BME2" s="15"/>
      <c r="BMF2" s="15"/>
      <c r="BMG2" s="15"/>
      <c r="BMH2" s="15"/>
      <c r="BMI2" s="15"/>
      <c r="BMJ2" s="15"/>
      <c r="BMK2" s="15"/>
      <c r="BML2" s="15"/>
      <c r="BMM2" s="15"/>
      <c r="BMN2" s="15"/>
      <c r="BMO2" s="15"/>
      <c r="BMP2" s="15"/>
      <c r="BMQ2" s="15"/>
      <c r="BMR2" s="15"/>
      <c r="BMS2" s="15"/>
      <c r="BMT2" s="15"/>
      <c r="BMU2" s="15"/>
      <c r="BMV2" s="15"/>
      <c r="BMW2" s="15"/>
      <c r="BMX2" s="15"/>
      <c r="BMY2" s="15"/>
      <c r="BMZ2" s="15"/>
      <c r="BNA2" s="15"/>
      <c r="BNB2" s="15"/>
      <c r="BNC2" s="15"/>
      <c r="BND2" s="15"/>
      <c r="BNE2" s="15"/>
      <c r="BNF2" s="15"/>
      <c r="BNG2" s="15"/>
      <c r="BNH2" s="15"/>
      <c r="BNI2" s="15"/>
      <c r="BNJ2" s="15"/>
      <c r="BNK2" s="15"/>
      <c r="BNL2" s="15"/>
      <c r="BNM2" s="15"/>
      <c r="BNN2" s="15"/>
      <c r="BNO2" s="15"/>
      <c r="BNP2" s="15"/>
      <c r="BNQ2" s="15"/>
      <c r="BNR2" s="15"/>
      <c r="BNS2" s="15"/>
      <c r="BNT2" s="15"/>
      <c r="BNU2" s="15"/>
      <c r="BNV2" s="15"/>
      <c r="BNW2" s="15"/>
      <c r="BNX2" s="15"/>
      <c r="BNY2" s="15"/>
      <c r="BNZ2" s="15"/>
      <c r="BOA2" s="15"/>
      <c r="BOB2" s="15"/>
      <c r="BOC2" s="15"/>
      <c r="BOD2" s="15"/>
      <c r="BOE2" s="15"/>
      <c r="BOF2" s="15"/>
      <c r="BOG2" s="15"/>
      <c r="BOH2" s="15"/>
      <c r="BOI2" s="15"/>
      <c r="BOJ2" s="15"/>
      <c r="BOK2" s="15"/>
      <c r="BOL2" s="15"/>
      <c r="BOM2" s="15"/>
      <c r="BON2" s="15"/>
      <c r="BOO2" s="15"/>
      <c r="BOP2" s="15"/>
      <c r="BOQ2" s="15"/>
      <c r="BOR2" s="15"/>
      <c r="BOS2" s="15"/>
      <c r="BOT2" s="15"/>
      <c r="BOU2" s="15"/>
      <c r="BOV2" s="15"/>
      <c r="BOW2" s="15"/>
      <c r="BOX2" s="15"/>
      <c r="BOY2" s="15"/>
      <c r="BOZ2" s="15"/>
      <c r="BPA2" s="15"/>
      <c r="BPB2" s="15"/>
      <c r="BPC2" s="15"/>
      <c r="BPD2" s="15"/>
      <c r="BPE2" s="15"/>
      <c r="BPF2" s="15"/>
      <c r="BPG2" s="15"/>
      <c r="BPH2" s="15"/>
      <c r="BPI2" s="15"/>
      <c r="BPJ2" s="15"/>
      <c r="BPK2" s="15"/>
      <c r="BPL2" s="15"/>
      <c r="BPM2" s="15"/>
      <c r="BPN2" s="15"/>
      <c r="BPO2" s="15"/>
      <c r="BPP2" s="15"/>
      <c r="BPQ2" s="15"/>
      <c r="BPR2" s="15"/>
      <c r="BPS2" s="15"/>
      <c r="BPT2" s="15"/>
      <c r="BPU2" s="15"/>
      <c r="BPV2" s="15"/>
      <c r="BPW2" s="15"/>
      <c r="BPX2" s="15"/>
      <c r="BPY2" s="15"/>
      <c r="BPZ2" s="15"/>
      <c r="BQA2" s="15"/>
      <c r="BQB2" s="15"/>
      <c r="BQC2" s="15"/>
      <c r="BQD2" s="15"/>
      <c r="BQE2" s="15"/>
      <c r="BQF2" s="15"/>
      <c r="BQG2" s="15"/>
      <c r="BQH2" s="15"/>
      <c r="BQI2" s="15"/>
      <c r="BQJ2" s="15"/>
      <c r="BQK2" s="15"/>
      <c r="BQL2" s="15"/>
      <c r="BQM2" s="15"/>
      <c r="BQN2" s="15"/>
      <c r="BQO2" s="15"/>
      <c r="BQP2" s="15"/>
      <c r="BQQ2" s="15"/>
      <c r="BQR2" s="15"/>
      <c r="BQS2" s="15"/>
      <c r="BQT2" s="15"/>
      <c r="BQU2" s="15"/>
      <c r="BQV2" s="15"/>
      <c r="BQW2" s="15"/>
      <c r="BQX2" s="15"/>
      <c r="BQY2" s="15"/>
      <c r="BQZ2" s="15"/>
      <c r="BRA2" s="15"/>
      <c r="BRB2" s="15"/>
      <c r="BRC2" s="15"/>
      <c r="BRD2" s="15"/>
      <c r="BRE2" s="15"/>
      <c r="BRF2" s="15"/>
      <c r="BRG2" s="15"/>
      <c r="BRH2" s="15"/>
      <c r="BRI2" s="15"/>
      <c r="BRJ2" s="15"/>
      <c r="BRK2" s="15"/>
      <c r="BRL2" s="15"/>
      <c r="BRM2" s="15"/>
      <c r="BRN2" s="15"/>
      <c r="BRO2" s="15"/>
      <c r="BRP2" s="15"/>
      <c r="BRQ2" s="15"/>
      <c r="BRR2" s="15"/>
      <c r="BRS2" s="15"/>
      <c r="BRT2" s="15"/>
      <c r="BRU2" s="15"/>
      <c r="BRV2" s="15"/>
      <c r="BRW2" s="15"/>
      <c r="BRX2" s="15"/>
      <c r="BRY2" s="15"/>
      <c r="BRZ2" s="15"/>
      <c r="BSA2" s="15"/>
      <c r="BSB2" s="15"/>
      <c r="BSC2" s="15"/>
      <c r="BSD2" s="15"/>
      <c r="BSE2" s="15"/>
      <c r="BSF2" s="15"/>
      <c r="BSG2" s="15"/>
      <c r="BSH2" s="15"/>
      <c r="BSI2" s="15"/>
      <c r="BSJ2" s="15"/>
      <c r="BSK2" s="15"/>
      <c r="BSL2" s="15"/>
      <c r="BSM2" s="15"/>
      <c r="BSN2" s="15"/>
      <c r="BSO2" s="15"/>
      <c r="BSP2" s="15"/>
      <c r="BSQ2" s="15"/>
      <c r="BSR2" s="15"/>
      <c r="BSS2" s="15"/>
      <c r="BST2" s="15"/>
      <c r="BSU2" s="15"/>
      <c r="BSV2" s="15"/>
      <c r="BSW2" s="15"/>
      <c r="BSX2" s="15"/>
      <c r="BSY2" s="15"/>
      <c r="BSZ2" s="15"/>
      <c r="BTA2" s="15"/>
      <c r="BTB2" s="15"/>
      <c r="BTC2" s="15"/>
      <c r="BTD2" s="15"/>
      <c r="BTE2" s="15"/>
      <c r="BTF2" s="15"/>
      <c r="BTG2" s="15"/>
      <c r="BTH2" s="15"/>
      <c r="BTI2" s="15"/>
      <c r="BTJ2" s="15"/>
      <c r="BTK2" s="15"/>
      <c r="BTL2" s="15"/>
      <c r="BTM2" s="15"/>
      <c r="BTN2" s="15"/>
      <c r="BTO2" s="15"/>
      <c r="BTP2" s="15"/>
      <c r="BTQ2" s="15"/>
      <c r="BTR2" s="15"/>
      <c r="BTS2" s="15"/>
      <c r="BTT2" s="15"/>
      <c r="BTU2" s="15"/>
      <c r="BTV2" s="15"/>
      <c r="BTW2" s="15"/>
      <c r="BTX2" s="15"/>
      <c r="BTY2" s="15"/>
      <c r="BTZ2" s="15"/>
      <c r="BUA2" s="15"/>
      <c r="BUB2" s="15"/>
      <c r="BUC2" s="15"/>
      <c r="BUD2" s="15"/>
      <c r="BUE2" s="15"/>
      <c r="BUF2" s="15"/>
      <c r="BUG2" s="15"/>
      <c r="BUH2" s="15"/>
      <c r="BUI2" s="15"/>
      <c r="BUJ2" s="15"/>
      <c r="BUK2" s="15"/>
      <c r="BUL2" s="15"/>
      <c r="BUM2" s="15"/>
      <c r="BUN2" s="15"/>
      <c r="BUO2" s="15"/>
      <c r="BUP2" s="15"/>
      <c r="BUQ2" s="15"/>
      <c r="BUR2" s="15"/>
      <c r="BUS2" s="15"/>
      <c r="BUT2" s="15"/>
      <c r="BUU2" s="15"/>
      <c r="BUV2" s="15"/>
      <c r="BUW2" s="15"/>
      <c r="BUX2" s="15"/>
      <c r="BUY2" s="15"/>
      <c r="BUZ2" s="15"/>
      <c r="BVA2" s="15"/>
      <c r="BVB2" s="15"/>
      <c r="BVC2" s="15"/>
      <c r="BVD2" s="15"/>
      <c r="BVE2" s="15"/>
      <c r="BVF2" s="15"/>
      <c r="BVG2" s="15"/>
      <c r="BVH2" s="15"/>
      <c r="BVI2" s="15"/>
      <c r="BVJ2" s="15"/>
      <c r="BVK2" s="15"/>
      <c r="BVL2" s="15"/>
      <c r="BVM2" s="15"/>
      <c r="BVN2" s="15"/>
      <c r="BVO2" s="15"/>
      <c r="BVP2" s="15"/>
      <c r="BVQ2" s="15"/>
      <c r="BVR2" s="15"/>
      <c r="BVS2" s="15"/>
      <c r="BVT2" s="15"/>
      <c r="BVU2" s="15"/>
      <c r="BVV2" s="15"/>
      <c r="BVW2" s="15"/>
      <c r="BVX2" s="15"/>
      <c r="BVY2" s="15"/>
      <c r="BVZ2" s="15"/>
      <c r="BWA2" s="15"/>
      <c r="BWB2" s="15"/>
      <c r="BWC2" s="15"/>
      <c r="BWD2" s="15"/>
      <c r="BWE2" s="15"/>
      <c r="BWF2" s="15"/>
      <c r="BWG2" s="15"/>
      <c r="BWH2" s="15"/>
      <c r="BWI2" s="15"/>
      <c r="BWJ2" s="15"/>
      <c r="BWK2" s="15"/>
      <c r="BWL2" s="15"/>
      <c r="BWM2" s="15"/>
      <c r="BWN2" s="15"/>
      <c r="BWO2" s="15"/>
      <c r="BWP2" s="15"/>
      <c r="BWQ2" s="15"/>
      <c r="BWR2" s="15"/>
      <c r="BWS2" s="15"/>
      <c r="BWT2" s="15"/>
      <c r="BWU2" s="15"/>
      <c r="BWV2" s="15"/>
      <c r="BWW2" s="15"/>
      <c r="BWX2" s="15"/>
      <c r="BWY2" s="15"/>
      <c r="BWZ2" s="15"/>
      <c r="BXA2" s="15"/>
      <c r="BXB2" s="15"/>
      <c r="BXC2" s="15"/>
      <c r="BXD2" s="15"/>
      <c r="BXE2" s="15"/>
      <c r="BXF2" s="15"/>
      <c r="BXG2" s="15"/>
      <c r="BXH2" s="15"/>
      <c r="BXI2" s="15"/>
      <c r="BXJ2" s="15"/>
      <c r="BXK2" s="15"/>
      <c r="BXL2" s="15"/>
      <c r="BXM2" s="15"/>
      <c r="BXN2" s="15"/>
      <c r="BXO2" s="15"/>
      <c r="BXP2" s="15"/>
      <c r="BXQ2" s="15"/>
      <c r="BXR2" s="15"/>
      <c r="BXS2" s="15"/>
      <c r="BXT2" s="15"/>
      <c r="BXU2" s="15"/>
      <c r="BXV2" s="15"/>
      <c r="BXW2" s="15"/>
      <c r="BXX2" s="15"/>
      <c r="BXY2" s="15"/>
      <c r="BXZ2" s="15"/>
      <c r="BYA2" s="15"/>
      <c r="BYB2" s="15"/>
      <c r="BYC2" s="15"/>
      <c r="BYD2" s="15"/>
      <c r="BYE2" s="15"/>
      <c r="BYF2" s="15"/>
      <c r="BYG2" s="15"/>
      <c r="BYH2" s="15"/>
      <c r="BYI2" s="15"/>
      <c r="BYJ2" s="15"/>
      <c r="BYK2" s="15"/>
      <c r="BYL2" s="15"/>
      <c r="BYM2" s="15"/>
      <c r="BYN2" s="15"/>
      <c r="BYO2" s="15"/>
      <c r="BYP2" s="15"/>
      <c r="BYQ2" s="15"/>
      <c r="BYR2" s="15"/>
      <c r="BYS2" s="15"/>
      <c r="BYT2" s="15"/>
      <c r="BYU2" s="15"/>
      <c r="BYV2" s="15"/>
      <c r="BYW2" s="15"/>
      <c r="BYX2" s="15"/>
      <c r="BYY2" s="15"/>
      <c r="BYZ2" s="15"/>
      <c r="BZA2" s="15"/>
      <c r="BZB2" s="15"/>
      <c r="BZC2" s="15"/>
      <c r="BZD2" s="15"/>
      <c r="BZE2" s="15"/>
      <c r="BZF2" s="15"/>
      <c r="BZG2" s="15"/>
      <c r="BZH2" s="15"/>
      <c r="BZI2" s="15"/>
      <c r="BZJ2" s="15"/>
      <c r="BZK2" s="15"/>
      <c r="BZL2" s="15"/>
      <c r="BZM2" s="15"/>
      <c r="BZN2" s="15"/>
      <c r="BZO2" s="15"/>
      <c r="BZP2" s="15"/>
      <c r="BZQ2" s="15"/>
      <c r="BZR2" s="15"/>
      <c r="BZS2" s="15"/>
      <c r="BZT2" s="15"/>
      <c r="BZU2" s="15"/>
      <c r="BZV2" s="15"/>
      <c r="BZW2" s="15"/>
      <c r="BZX2" s="15"/>
      <c r="BZY2" s="15"/>
      <c r="BZZ2" s="15"/>
      <c r="CAA2" s="15"/>
      <c r="CAB2" s="15"/>
      <c r="CAC2" s="15"/>
      <c r="CAD2" s="15"/>
      <c r="CAE2" s="15"/>
      <c r="CAF2" s="15"/>
      <c r="CAG2" s="15"/>
      <c r="CAH2" s="15"/>
      <c r="CAI2" s="15"/>
      <c r="CAJ2" s="15"/>
      <c r="CAK2" s="15"/>
      <c r="CAL2" s="15"/>
      <c r="CAM2" s="15"/>
      <c r="CAN2" s="15"/>
      <c r="CAO2" s="15"/>
      <c r="CAP2" s="15"/>
      <c r="CAQ2" s="15"/>
      <c r="CAR2" s="15"/>
      <c r="CAS2" s="15"/>
      <c r="CAT2" s="15"/>
      <c r="CAU2" s="15"/>
      <c r="CAV2" s="15"/>
      <c r="CAW2" s="15"/>
      <c r="CAX2" s="15"/>
      <c r="CAY2" s="15"/>
      <c r="CAZ2" s="15"/>
      <c r="CBA2" s="15"/>
      <c r="CBB2" s="15"/>
      <c r="CBC2" s="15"/>
      <c r="CBD2" s="15"/>
      <c r="CBE2" s="15"/>
      <c r="CBF2" s="15"/>
      <c r="CBG2" s="15"/>
      <c r="CBH2" s="15"/>
      <c r="CBI2" s="15"/>
      <c r="CBJ2" s="15"/>
      <c r="CBK2" s="15"/>
      <c r="CBL2" s="15"/>
      <c r="CBM2" s="15"/>
      <c r="CBN2" s="15"/>
      <c r="CBO2" s="15"/>
      <c r="CBP2" s="15"/>
      <c r="CBQ2" s="15"/>
      <c r="CBR2" s="15"/>
      <c r="CBS2" s="15"/>
      <c r="CBT2" s="15"/>
      <c r="CBU2" s="15"/>
      <c r="CBV2" s="15"/>
      <c r="CBW2" s="15"/>
      <c r="CBX2" s="15"/>
      <c r="CBY2" s="15"/>
      <c r="CBZ2" s="15"/>
      <c r="CCA2" s="15"/>
      <c r="CCB2" s="15"/>
      <c r="CCC2" s="15"/>
      <c r="CCD2" s="15"/>
      <c r="CCE2" s="15"/>
      <c r="CCF2" s="15"/>
      <c r="CCG2" s="15"/>
      <c r="CCH2" s="15"/>
      <c r="CCI2" s="15"/>
      <c r="CCJ2" s="15"/>
      <c r="CCK2" s="15"/>
      <c r="CCL2" s="15"/>
      <c r="CCM2" s="15"/>
      <c r="CCN2" s="15"/>
      <c r="CCO2" s="15"/>
      <c r="CCP2" s="15"/>
      <c r="CCQ2" s="15"/>
      <c r="CCR2" s="15"/>
      <c r="CCS2" s="15"/>
      <c r="CCT2" s="15"/>
      <c r="CCU2" s="15"/>
      <c r="CCV2" s="15"/>
      <c r="CCW2" s="15"/>
      <c r="CCX2" s="15"/>
      <c r="CCY2" s="15"/>
      <c r="CCZ2" s="15"/>
      <c r="CDA2" s="15"/>
      <c r="CDB2" s="15"/>
      <c r="CDC2" s="15"/>
      <c r="CDD2" s="15"/>
      <c r="CDE2" s="15"/>
      <c r="CDF2" s="15"/>
      <c r="CDG2" s="15"/>
      <c r="CDH2" s="15"/>
      <c r="CDI2" s="15"/>
      <c r="CDJ2" s="15"/>
      <c r="CDK2" s="15"/>
      <c r="CDL2" s="15"/>
      <c r="CDM2" s="15"/>
      <c r="CDN2" s="15"/>
      <c r="CDO2" s="15"/>
      <c r="CDP2" s="15"/>
      <c r="CDQ2" s="15"/>
      <c r="CDR2" s="15"/>
      <c r="CDS2" s="15"/>
      <c r="CDT2" s="15"/>
      <c r="CDU2" s="15"/>
      <c r="CDV2" s="15"/>
      <c r="CDW2" s="15"/>
      <c r="CDX2" s="15"/>
      <c r="CDY2" s="15"/>
      <c r="CDZ2" s="15"/>
      <c r="CEA2" s="15"/>
      <c r="CEB2" s="15"/>
      <c r="CEC2" s="15"/>
      <c r="CED2" s="15"/>
      <c r="CEE2" s="15"/>
      <c r="CEF2" s="15"/>
      <c r="CEG2" s="15"/>
      <c r="CEH2" s="15"/>
      <c r="CEI2" s="15"/>
      <c r="CEJ2" s="15"/>
      <c r="CEK2" s="15"/>
      <c r="CEL2" s="15"/>
      <c r="CEM2" s="15"/>
      <c r="CEN2" s="15"/>
      <c r="CEO2" s="15"/>
      <c r="CEP2" s="15"/>
      <c r="CEQ2" s="15"/>
      <c r="CER2" s="15"/>
      <c r="CES2" s="15"/>
      <c r="CET2" s="15"/>
      <c r="CEU2" s="15"/>
      <c r="CEV2" s="15"/>
      <c r="CEW2" s="15"/>
      <c r="CEX2" s="15"/>
      <c r="CEY2" s="15"/>
      <c r="CEZ2" s="15"/>
      <c r="CFA2" s="15"/>
      <c r="CFB2" s="15"/>
      <c r="CFC2" s="15"/>
      <c r="CFD2" s="15"/>
      <c r="CFE2" s="15"/>
      <c r="CFF2" s="15"/>
      <c r="CFG2" s="15"/>
      <c r="CFH2" s="15"/>
      <c r="CFI2" s="15"/>
      <c r="CFJ2" s="15"/>
      <c r="CFK2" s="15"/>
      <c r="CFL2" s="15"/>
      <c r="CFM2" s="15"/>
      <c r="CFN2" s="15"/>
      <c r="CFO2" s="15"/>
      <c r="CFP2" s="15"/>
      <c r="CFQ2" s="15"/>
      <c r="CFR2" s="15"/>
      <c r="CFS2" s="15"/>
      <c r="CFT2" s="15"/>
      <c r="CFU2" s="15"/>
      <c r="CFV2" s="15"/>
      <c r="CFW2" s="15"/>
      <c r="CFX2" s="15"/>
      <c r="CFY2" s="15"/>
      <c r="CFZ2" s="15"/>
      <c r="CGA2" s="15"/>
      <c r="CGB2" s="15"/>
      <c r="CGC2" s="15"/>
      <c r="CGD2" s="15"/>
      <c r="CGE2" s="15"/>
      <c r="CGF2" s="15"/>
      <c r="CGG2" s="15"/>
      <c r="CGH2" s="15"/>
      <c r="CGI2" s="15"/>
      <c r="CGJ2" s="15"/>
      <c r="CGK2" s="15"/>
      <c r="CGL2" s="15"/>
      <c r="CGM2" s="15"/>
      <c r="CGN2" s="15"/>
      <c r="CGO2" s="15"/>
      <c r="CGP2" s="15"/>
      <c r="CGQ2" s="15"/>
      <c r="CGR2" s="15"/>
      <c r="CGS2" s="15"/>
      <c r="CGT2" s="15"/>
      <c r="CGU2" s="15"/>
      <c r="CGV2" s="15"/>
      <c r="CGW2" s="15"/>
      <c r="CGX2" s="15"/>
      <c r="CGY2" s="15"/>
      <c r="CGZ2" s="15"/>
      <c r="CHA2" s="15"/>
      <c r="CHB2" s="15"/>
      <c r="CHC2" s="15"/>
      <c r="CHD2" s="15"/>
      <c r="CHE2" s="15"/>
      <c r="CHF2" s="15"/>
      <c r="CHG2" s="15"/>
      <c r="CHH2" s="15"/>
      <c r="CHI2" s="15"/>
      <c r="CHJ2" s="15"/>
      <c r="CHK2" s="15"/>
      <c r="CHL2" s="15"/>
      <c r="CHM2" s="15"/>
      <c r="CHN2" s="15"/>
      <c r="CHO2" s="15"/>
      <c r="CHP2" s="15"/>
      <c r="CHQ2" s="15"/>
      <c r="CHR2" s="15"/>
      <c r="CHS2" s="15"/>
      <c r="CHT2" s="15"/>
      <c r="CHU2" s="15"/>
      <c r="CHV2" s="15"/>
      <c r="CHW2" s="15"/>
      <c r="CHX2" s="15"/>
      <c r="CHY2" s="15"/>
      <c r="CHZ2" s="15"/>
      <c r="CIA2" s="15"/>
      <c r="CIB2" s="15"/>
      <c r="CIC2" s="15"/>
      <c r="CID2" s="15"/>
      <c r="CIE2" s="15"/>
      <c r="CIF2" s="15"/>
      <c r="CIG2" s="15"/>
      <c r="CIH2" s="15"/>
      <c r="CII2" s="15"/>
      <c r="CIJ2" s="15"/>
      <c r="CIK2" s="15"/>
      <c r="CIL2" s="15"/>
      <c r="CIM2" s="15"/>
      <c r="CIN2" s="15"/>
      <c r="CIO2" s="15"/>
      <c r="CIP2" s="15"/>
      <c r="CIQ2" s="15"/>
      <c r="CIR2" s="15"/>
      <c r="CIS2" s="15"/>
      <c r="CIT2" s="15"/>
      <c r="CIU2" s="15"/>
      <c r="CIV2" s="15"/>
      <c r="CIW2" s="15"/>
      <c r="CIX2" s="15"/>
      <c r="CIY2" s="15"/>
      <c r="CIZ2" s="15"/>
      <c r="CJA2" s="15"/>
      <c r="CJB2" s="15"/>
      <c r="CJC2" s="15"/>
      <c r="CJD2" s="15"/>
      <c r="CJE2" s="15"/>
      <c r="CJF2" s="15"/>
      <c r="CJG2" s="15"/>
      <c r="CJH2" s="15"/>
      <c r="CJI2" s="15"/>
      <c r="CJJ2" s="15"/>
      <c r="CJK2" s="15"/>
      <c r="CJL2" s="15"/>
      <c r="CJM2" s="15"/>
      <c r="CJN2" s="15"/>
      <c r="CJO2" s="15"/>
      <c r="CJP2" s="15"/>
      <c r="CJQ2" s="15"/>
      <c r="CJR2" s="15"/>
      <c r="CJS2" s="15"/>
      <c r="CJT2" s="15"/>
      <c r="CJU2" s="15"/>
      <c r="CJV2" s="15"/>
      <c r="CJW2" s="15"/>
      <c r="CJX2" s="15"/>
      <c r="CJY2" s="15"/>
      <c r="CJZ2" s="15"/>
      <c r="CKA2" s="15"/>
      <c r="CKB2" s="15"/>
      <c r="CKC2" s="15"/>
      <c r="CKD2" s="15"/>
      <c r="CKE2" s="15"/>
      <c r="CKF2" s="15"/>
      <c r="CKG2" s="15"/>
      <c r="CKH2" s="15"/>
      <c r="CKI2" s="15"/>
      <c r="CKJ2" s="15"/>
      <c r="CKK2" s="15"/>
      <c r="CKL2" s="15"/>
      <c r="CKM2" s="15"/>
      <c r="CKN2" s="15"/>
      <c r="CKO2" s="15"/>
      <c r="CKP2" s="15"/>
      <c r="CKQ2" s="15"/>
      <c r="CKR2" s="15"/>
      <c r="CKS2" s="15"/>
      <c r="CKT2" s="15"/>
      <c r="CKU2" s="15"/>
      <c r="CKV2" s="15"/>
      <c r="CKW2" s="15"/>
      <c r="CKX2" s="15"/>
      <c r="CKY2" s="15"/>
      <c r="CKZ2" s="15"/>
      <c r="CLA2" s="15"/>
      <c r="CLB2" s="15"/>
      <c r="CLC2" s="15"/>
      <c r="CLD2" s="15"/>
      <c r="CLE2" s="15"/>
      <c r="CLF2" s="15"/>
      <c r="CLG2" s="15"/>
      <c r="CLH2" s="15"/>
      <c r="CLI2" s="15"/>
      <c r="CLJ2" s="15"/>
      <c r="CLK2" s="15"/>
      <c r="CLL2" s="15"/>
      <c r="CLM2" s="15"/>
      <c r="CLN2" s="15"/>
      <c r="CLO2" s="15"/>
      <c r="CLP2" s="15"/>
      <c r="CLQ2" s="15"/>
      <c r="CLR2" s="15"/>
      <c r="CLS2" s="15"/>
      <c r="CLT2" s="15"/>
      <c r="CLU2" s="15"/>
      <c r="CLV2" s="15"/>
      <c r="CLW2" s="15"/>
      <c r="CLX2" s="15"/>
      <c r="CLY2" s="15"/>
      <c r="CLZ2" s="15"/>
      <c r="CMA2" s="15"/>
      <c r="CMB2" s="15"/>
      <c r="CMC2" s="15"/>
      <c r="CMD2" s="15"/>
      <c r="CME2" s="15"/>
      <c r="CMF2" s="15"/>
      <c r="CMG2" s="15"/>
      <c r="CMH2" s="15"/>
      <c r="CMI2" s="15"/>
      <c r="CMJ2" s="15"/>
      <c r="CMK2" s="15"/>
      <c r="CML2" s="15"/>
      <c r="CMM2" s="15"/>
      <c r="CMN2" s="15"/>
      <c r="CMO2" s="15"/>
      <c r="CMP2" s="15"/>
      <c r="CMQ2" s="15"/>
      <c r="CMR2" s="15"/>
      <c r="CMS2" s="15"/>
      <c r="CMT2" s="15"/>
      <c r="CMU2" s="15"/>
      <c r="CMV2" s="15"/>
      <c r="CMW2" s="15"/>
      <c r="CMX2" s="15"/>
      <c r="CMY2" s="15"/>
      <c r="CMZ2" s="15"/>
      <c r="CNA2" s="15"/>
      <c r="CNB2" s="15"/>
      <c r="CNC2" s="15"/>
      <c r="CND2" s="15"/>
      <c r="CNE2" s="15"/>
      <c r="CNF2" s="15"/>
      <c r="CNG2" s="15"/>
      <c r="CNH2" s="15"/>
      <c r="CNI2" s="15"/>
      <c r="CNJ2" s="15"/>
      <c r="CNK2" s="15"/>
      <c r="CNL2" s="15"/>
      <c r="CNM2" s="15"/>
      <c r="CNN2" s="15"/>
      <c r="CNO2" s="15"/>
      <c r="CNP2" s="15"/>
      <c r="CNQ2" s="15"/>
      <c r="CNR2" s="15"/>
      <c r="CNS2" s="15"/>
      <c r="CNT2" s="15"/>
      <c r="CNU2" s="15"/>
      <c r="CNV2" s="15"/>
      <c r="CNW2" s="15"/>
      <c r="CNX2" s="15"/>
      <c r="CNY2" s="15"/>
      <c r="CNZ2" s="15"/>
      <c r="COA2" s="15"/>
      <c r="COB2" s="15"/>
      <c r="COC2" s="15"/>
      <c r="COD2" s="15"/>
      <c r="COE2" s="15"/>
      <c r="COF2" s="15"/>
      <c r="COG2" s="15"/>
      <c r="COH2" s="15"/>
      <c r="COI2" s="15"/>
      <c r="COJ2" s="15"/>
      <c r="COK2" s="15"/>
      <c r="COL2" s="15"/>
      <c r="COM2" s="15"/>
      <c r="CON2" s="15"/>
      <c r="COO2" s="15"/>
      <c r="COP2" s="15"/>
      <c r="COQ2" s="15"/>
      <c r="COR2" s="15"/>
      <c r="COS2" s="15"/>
      <c r="COT2" s="15"/>
      <c r="COU2" s="15"/>
      <c r="COV2" s="15"/>
      <c r="COW2" s="15"/>
      <c r="COX2" s="15"/>
      <c r="COY2" s="15"/>
      <c r="COZ2" s="15"/>
      <c r="CPA2" s="15"/>
      <c r="CPB2" s="15"/>
      <c r="CPC2" s="15"/>
      <c r="CPD2" s="15"/>
      <c r="CPE2" s="15"/>
      <c r="CPF2" s="15"/>
      <c r="CPG2" s="15"/>
      <c r="CPH2" s="15"/>
      <c r="CPI2" s="15"/>
      <c r="CPJ2" s="15"/>
      <c r="CPK2" s="15"/>
      <c r="CPL2" s="15"/>
      <c r="CPM2" s="15"/>
      <c r="CPN2" s="15"/>
      <c r="CPO2" s="15"/>
      <c r="CPP2" s="15"/>
      <c r="CPQ2" s="15"/>
      <c r="CPR2" s="15"/>
      <c r="CPS2" s="15"/>
      <c r="CPT2" s="15"/>
      <c r="CPU2" s="15"/>
      <c r="CPV2" s="15"/>
      <c r="CPW2" s="15"/>
      <c r="CPX2" s="15"/>
      <c r="CPY2" s="15"/>
      <c r="CPZ2" s="15"/>
      <c r="CQA2" s="15"/>
      <c r="CQB2" s="15"/>
      <c r="CQC2" s="15"/>
      <c r="CQD2" s="15"/>
      <c r="CQE2" s="15"/>
      <c r="CQF2" s="15"/>
      <c r="CQG2" s="15"/>
      <c r="CQH2" s="15"/>
      <c r="CQI2" s="15"/>
      <c r="CQJ2" s="15"/>
      <c r="CQK2" s="15"/>
      <c r="CQL2" s="15"/>
      <c r="CQM2" s="15"/>
      <c r="CQN2" s="15"/>
      <c r="CQO2" s="15"/>
      <c r="CQP2" s="15"/>
      <c r="CQQ2" s="15"/>
      <c r="CQR2" s="15"/>
      <c r="CQS2" s="15"/>
      <c r="CQT2" s="15"/>
      <c r="CQU2" s="15"/>
      <c r="CQV2" s="15"/>
      <c r="CQW2" s="15"/>
      <c r="CQX2" s="15"/>
      <c r="CQY2" s="15"/>
      <c r="CQZ2" s="15"/>
      <c r="CRA2" s="15"/>
      <c r="CRB2" s="15"/>
      <c r="CRC2" s="15"/>
      <c r="CRD2" s="15"/>
      <c r="CRE2" s="15"/>
      <c r="CRF2" s="15"/>
      <c r="CRG2" s="15"/>
      <c r="CRH2" s="15"/>
      <c r="CRI2" s="15"/>
      <c r="CRJ2" s="15"/>
      <c r="CRK2" s="15"/>
      <c r="CRL2" s="15"/>
      <c r="CRM2" s="15"/>
      <c r="CRN2" s="15"/>
      <c r="CRO2" s="15"/>
      <c r="CRP2" s="15"/>
      <c r="CRQ2" s="15"/>
      <c r="CRR2" s="15"/>
      <c r="CRS2" s="15"/>
      <c r="CRT2" s="15"/>
      <c r="CRU2" s="15"/>
      <c r="CRV2" s="15"/>
      <c r="CRW2" s="15"/>
      <c r="CRX2" s="15"/>
      <c r="CRY2" s="15"/>
      <c r="CRZ2" s="15"/>
      <c r="CSA2" s="15"/>
      <c r="CSB2" s="15"/>
      <c r="CSC2" s="15"/>
      <c r="CSD2" s="15"/>
      <c r="CSE2" s="15"/>
      <c r="CSF2" s="15"/>
      <c r="CSG2" s="15"/>
      <c r="CSH2" s="15"/>
      <c r="CSI2" s="15"/>
      <c r="CSJ2" s="15"/>
      <c r="CSK2" s="15"/>
      <c r="CSL2" s="15"/>
      <c r="CSM2" s="15"/>
      <c r="CSN2" s="15"/>
      <c r="CSO2" s="15"/>
      <c r="CSP2" s="15"/>
      <c r="CSQ2" s="15"/>
      <c r="CSR2" s="15"/>
      <c r="CSS2" s="15"/>
      <c r="CST2" s="15"/>
      <c r="CSU2" s="15"/>
      <c r="CSV2" s="15"/>
      <c r="CSW2" s="15"/>
      <c r="CSX2" s="15"/>
      <c r="CSY2" s="15"/>
      <c r="CSZ2" s="15"/>
      <c r="CTA2" s="15"/>
      <c r="CTB2" s="15"/>
      <c r="CTC2" s="15"/>
      <c r="CTD2" s="15"/>
      <c r="CTE2" s="15"/>
      <c r="CTF2" s="15"/>
      <c r="CTG2" s="15"/>
      <c r="CTH2" s="15"/>
      <c r="CTI2" s="15"/>
      <c r="CTJ2" s="15"/>
      <c r="CTK2" s="15"/>
      <c r="CTL2" s="15"/>
      <c r="CTM2" s="15"/>
      <c r="CTN2" s="15"/>
      <c r="CTO2" s="15"/>
      <c r="CTP2" s="15"/>
      <c r="CTQ2" s="15"/>
      <c r="CTR2" s="15"/>
      <c r="CTS2" s="15"/>
      <c r="CTT2" s="15"/>
      <c r="CTU2" s="15"/>
      <c r="CTV2" s="15"/>
      <c r="CTW2" s="15"/>
      <c r="CTX2" s="15"/>
      <c r="CTY2" s="15"/>
      <c r="CTZ2" s="15"/>
      <c r="CUA2" s="15"/>
      <c r="CUB2" s="15"/>
      <c r="CUC2" s="15"/>
      <c r="CUD2" s="15"/>
      <c r="CUE2" s="15"/>
      <c r="CUF2" s="15"/>
      <c r="CUG2" s="15"/>
      <c r="CUH2" s="15"/>
      <c r="CUI2" s="15"/>
      <c r="CUJ2" s="15"/>
      <c r="CUK2" s="15"/>
      <c r="CUL2" s="15"/>
      <c r="CUM2" s="15"/>
      <c r="CUN2" s="15"/>
      <c r="CUO2" s="15"/>
      <c r="CUP2" s="15"/>
      <c r="CUQ2" s="15"/>
      <c r="CUR2" s="15"/>
      <c r="CUS2" s="15"/>
      <c r="CUT2" s="15"/>
      <c r="CUU2" s="15"/>
      <c r="CUV2" s="15"/>
      <c r="CUW2" s="15"/>
      <c r="CUX2" s="15"/>
      <c r="CUY2" s="15"/>
      <c r="CUZ2" s="15"/>
      <c r="CVA2" s="15"/>
      <c r="CVB2" s="15"/>
      <c r="CVC2" s="15"/>
      <c r="CVD2" s="15"/>
      <c r="CVE2" s="15"/>
      <c r="CVF2" s="15"/>
      <c r="CVG2" s="15"/>
      <c r="CVH2" s="15"/>
      <c r="CVI2" s="15"/>
      <c r="CVJ2" s="15"/>
      <c r="CVK2" s="15"/>
      <c r="CVL2" s="15"/>
      <c r="CVM2" s="15"/>
      <c r="CVN2" s="15"/>
      <c r="CVO2" s="15"/>
      <c r="CVP2" s="15"/>
      <c r="CVQ2" s="15"/>
      <c r="CVR2" s="15"/>
      <c r="CVS2" s="15"/>
      <c r="CVT2" s="15"/>
      <c r="CVU2" s="15"/>
      <c r="CVV2" s="15"/>
      <c r="CVW2" s="15"/>
      <c r="CVX2" s="15"/>
      <c r="CVY2" s="15"/>
      <c r="CVZ2" s="15"/>
      <c r="CWA2" s="15"/>
      <c r="CWB2" s="15"/>
      <c r="CWC2" s="15"/>
      <c r="CWD2" s="15"/>
      <c r="CWE2" s="15"/>
      <c r="CWF2" s="15"/>
      <c r="CWG2" s="15"/>
      <c r="CWH2" s="15"/>
      <c r="CWI2" s="15"/>
      <c r="CWJ2" s="15"/>
      <c r="CWK2" s="15"/>
      <c r="CWL2" s="15"/>
      <c r="CWM2" s="15"/>
      <c r="CWN2" s="15"/>
      <c r="CWO2" s="15"/>
      <c r="CWP2" s="15"/>
      <c r="CWQ2" s="15"/>
      <c r="CWR2" s="15"/>
      <c r="CWS2" s="15"/>
      <c r="CWT2" s="15"/>
      <c r="CWU2" s="15"/>
      <c r="CWV2" s="15"/>
      <c r="CWW2" s="15"/>
      <c r="CWX2" s="15"/>
      <c r="CWY2" s="15"/>
      <c r="CWZ2" s="15"/>
      <c r="CXA2" s="15"/>
      <c r="CXB2" s="15"/>
      <c r="CXC2" s="15"/>
      <c r="CXD2" s="15"/>
      <c r="CXE2" s="15"/>
      <c r="CXF2" s="15"/>
      <c r="CXG2" s="15"/>
      <c r="CXH2" s="15"/>
      <c r="CXI2" s="15"/>
      <c r="CXJ2" s="15"/>
      <c r="CXK2" s="15"/>
      <c r="CXL2" s="15"/>
      <c r="CXM2" s="15"/>
      <c r="CXN2" s="15"/>
      <c r="CXO2" s="15"/>
      <c r="CXP2" s="15"/>
      <c r="CXQ2" s="15"/>
      <c r="CXR2" s="15"/>
      <c r="CXS2" s="15"/>
      <c r="CXT2" s="15"/>
      <c r="CXU2" s="15"/>
      <c r="CXV2" s="15"/>
      <c r="CXW2" s="15"/>
      <c r="CXX2" s="15"/>
      <c r="CXY2" s="15"/>
      <c r="CXZ2" s="15"/>
      <c r="CYA2" s="15"/>
      <c r="CYB2" s="15"/>
      <c r="CYC2" s="15"/>
      <c r="CYD2" s="15"/>
      <c r="CYE2" s="15"/>
      <c r="CYF2" s="15"/>
      <c r="CYG2" s="15"/>
      <c r="CYH2" s="15"/>
      <c r="CYI2" s="15"/>
      <c r="CYJ2" s="15"/>
      <c r="CYK2" s="15"/>
      <c r="CYL2" s="15"/>
      <c r="CYM2" s="15"/>
      <c r="CYN2" s="15"/>
      <c r="CYO2" s="15"/>
      <c r="CYP2" s="15"/>
      <c r="CYQ2" s="15"/>
      <c r="CYR2" s="15"/>
      <c r="CYS2" s="15"/>
      <c r="CYT2" s="15"/>
      <c r="CYU2" s="15"/>
      <c r="CYV2" s="15"/>
      <c r="CYW2" s="15"/>
      <c r="CYX2" s="15"/>
      <c r="CYY2" s="15"/>
      <c r="CYZ2" s="15"/>
      <c r="CZA2" s="15"/>
      <c r="CZB2" s="15"/>
      <c r="CZC2" s="15"/>
      <c r="CZD2" s="15"/>
      <c r="CZE2" s="15"/>
      <c r="CZF2" s="15"/>
      <c r="CZG2" s="15"/>
      <c r="CZH2" s="15"/>
      <c r="CZI2" s="15"/>
      <c r="CZJ2" s="15"/>
      <c r="CZK2" s="15"/>
      <c r="CZL2" s="15"/>
      <c r="CZM2" s="15"/>
      <c r="CZN2" s="15"/>
      <c r="CZO2" s="15"/>
      <c r="CZP2" s="15"/>
      <c r="CZQ2" s="15"/>
      <c r="CZR2" s="15"/>
      <c r="CZS2" s="15"/>
      <c r="CZT2" s="15"/>
      <c r="CZU2" s="15"/>
      <c r="CZV2" s="15"/>
      <c r="CZW2" s="15"/>
      <c r="CZX2" s="15"/>
      <c r="CZY2" s="15"/>
      <c r="CZZ2" s="15"/>
      <c r="DAA2" s="15"/>
      <c r="DAB2" s="15"/>
      <c r="DAC2" s="15"/>
      <c r="DAD2" s="15"/>
      <c r="DAE2" s="15"/>
      <c r="DAF2" s="15"/>
      <c r="DAG2" s="15"/>
      <c r="DAH2" s="15"/>
      <c r="DAI2" s="15"/>
      <c r="DAJ2" s="15"/>
      <c r="DAK2" s="15"/>
      <c r="DAL2" s="15"/>
      <c r="DAM2" s="15"/>
      <c r="DAN2" s="15"/>
      <c r="DAO2" s="15"/>
      <c r="DAP2" s="15"/>
      <c r="DAQ2" s="15"/>
      <c r="DAR2" s="15"/>
      <c r="DAS2" s="15"/>
      <c r="DAT2" s="15"/>
      <c r="DAU2" s="15"/>
      <c r="DAV2" s="15"/>
      <c r="DAW2" s="15"/>
      <c r="DAX2" s="15"/>
      <c r="DAY2" s="15"/>
      <c r="DAZ2" s="15"/>
      <c r="DBA2" s="15"/>
      <c r="DBB2" s="15"/>
      <c r="DBC2" s="15"/>
      <c r="DBD2" s="15"/>
      <c r="DBE2" s="15"/>
      <c r="DBF2" s="15"/>
      <c r="DBG2" s="15"/>
      <c r="DBH2" s="15"/>
      <c r="DBI2" s="15"/>
      <c r="DBJ2" s="15"/>
      <c r="DBK2" s="15"/>
      <c r="DBL2" s="15"/>
      <c r="DBM2" s="15"/>
      <c r="DBN2" s="15"/>
      <c r="DBO2" s="15"/>
      <c r="DBP2" s="15"/>
      <c r="DBQ2" s="15"/>
      <c r="DBR2" s="15"/>
      <c r="DBS2" s="15"/>
      <c r="DBT2" s="15"/>
      <c r="DBU2" s="15"/>
      <c r="DBV2" s="15"/>
      <c r="DBW2" s="15"/>
      <c r="DBX2" s="15"/>
      <c r="DBY2" s="15"/>
      <c r="DBZ2" s="15"/>
      <c r="DCA2" s="15"/>
      <c r="DCB2" s="15"/>
      <c r="DCC2" s="15"/>
      <c r="DCD2" s="15"/>
      <c r="DCE2" s="15"/>
      <c r="DCF2" s="15"/>
      <c r="DCG2" s="15"/>
      <c r="DCH2" s="15"/>
      <c r="DCI2" s="15"/>
      <c r="DCJ2" s="15"/>
      <c r="DCK2" s="15"/>
      <c r="DCL2" s="15"/>
      <c r="DCM2" s="15"/>
      <c r="DCN2" s="15"/>
      <c r="DCO2" s="15"/>
      <c r="DCP2" s="15"/>
      <c r="DCQ2" s="15"/>
      <c r="DCR2" s="15"/>
      <c r="DCS2" s="15"/>
      <c r="DCT2" s="15"/>
      <c r="DCU2" s="15"/>
      <c r="DCV2" s="15"/>
      <c r="DCW2" s="15"/>
      <c r="DCX2" s="15"/>
      <c r="DCY2" s="15"/>
      <c r="DCZ2" s="15"/>
      <c r="DDA2" s="15"/>
      <c r="DDB2" s="15"/>
      <c r="DDC2" s="15"/>
      <c r="DDD2" s="15"/>
      <c r="DDE2" s="15"/>
      <c r="DDF2" s="15"/>
      <c r="DDG2" s="15"/>
      <c r="DDH2" s="15"/>
      <c r="DDI2" s="15"/>
      <c r="DDJ2" s="15"/>
      <c r="DDK2" s="15"/>
      <c r="DDL2" s="15"/>
      <c r="DDM2" s="15"/>
      <c r="DDN2" s="15"/>
      <c r="DDO2" s="15"/>
      <c r="DDP2" s="15"/>
      <c r="DDQ2" s="15"/>
      <c r="DDR2" s="15"/>
      <c r="DDS2" s="15"/>
      <c r="DDT2" s="15"/>
      <c r="DDU2" s="15"/>
      <c r="DDV2" s="15"/>
      <c r="DDW2" s="15"/>
      <c r="DDX2" s="15"/>
      <c r="DDY2" s="15"/>
      <c r="DDZ2" s="15"/>
      <c r="DEA2" s="15"/>
      <c r="DEB2" s="15"/>
      <c r="DEC2" s="15"/>
      <c r="DED2" s="15"/>
      <c r="DEE2" s="15"/>
      <c r="DEF2" s="15"/>
      <c r="DEG2" s="15"/>
      <c r="DEH2" s="15"/>
      <c r="DEI2" s="15"/>
      <c r="DEJ2" s="15"/>
      <c r="DEK2" s="15"/>
      <c r="DEL2" s="15"/>
      <c r="DEM2" s="15"/>
      <c r="DEN2" s="15"/>
      <c r="DEO2" s="15"/>
      <c r="DEP2" s="15"/>
      <c r="DEQ2" s="15"/>
      <c r="DER2" s="15"/>
      <c r="DES2" s="15"/>
      <c r="DET2" s="15"/>
      <c r="DEU2" s="15"/>
      <c r="DEV2" s="15"/>
      <c r="DEW2" s="15"/>
      <c r="DEX2" s="15"/>
      <c r="DEY2" s="15"/>
      <c r="DEZ2" s="15"/>
      <c r="DFA2" s="15"/>
      <c r="DFB2" s="15"/>
      <c r="DFC2" s="15"/>
      <c r="DFD2" s="15"/>
      <c r="DFE2" s="15"/>
      <c r="DFF2" s="15"/>
      <c r="DFG2" s="15"/>
      <c r="DFH2" s="15"/>
      <c r="DFI2" s="15"/>
      <c r="DFJ2" s="15"/>
      <c r="DFK2" s="15"/>
      <c r="DFL2" s="15"/>
      <c r="DFM2" s="15"/>
      <c r="DFN2" s="15"/>
      <c r="DFO2" s="15"/>
      <c r="DFP2" s="15"/>
      <c r="DFQ2" s="15"/>
      <c r="DFR2" s="15"/>
      <c r="DFS2" s="15"/>
      <c r="DFT2" s="15"/>
      <c r="DFU2" s="15"/>
      <c r="DFV2" s="15"/>
      <c r="DFW2" s="15"/>
      <c r="DFX2" s="15"/>
      <c r="DFY2" s="15"/>
      <c r="DFZ2" s="15"/>
      <c r="DGA2" s="15"/>
      <c r="DGB2" s="15"/>
      <c r="DGC2" s="15"/>
      <c r="DGD2" s="15"/>
      <c r="DGE2" s="15"/>
      <c r="DGF2" s="15"/>
      <c r="DGG2" s="15"/>
      <c r="DGH2" s="15"/>
      <c r="DGI2" s="15"/>
      <c r="DGJ2" s="15"/>
      <c r="DGK2" s="15"/>
      <c r="DGL2" s="15"/>
      <c r="DGM2" s="15"/>
      <c r="DGN2" s="15"/>
      <c r="DGO2" s="15"/>
      <c r="DGP2" s="15"/>
      <c r="DGQ2" s="15"/>
      <c r="DGR2" s="15"/>
      <c r="DGS2" s="15"/>
      <c r="DGT2" s="15"/>
      <c r="DGU2" s="15"/>
      <c r="DGV2" s="15"/>
      <c r="DGW2" s="15"/>
      <c r="DGX2" s="15"/>
      <c r="DGY2" s="15"/>
      <c r="DGZ2" s="15"/>
      <c r="DHA2" s="15"/>
      <c r="DHB2" s="15"/>
      <c r="DHC2" s="15"/>
      <c r="DHD2" s="15"/>
      <c r="DHE2" s="15"/>
      <c r="DHF2" s="15"/>
      <c r="DHG2" s="15"/>
      <c r="DHH2" s="15"/>
      <c r="DHI2" s="15"/>
      <c r="DHJ2" s="15"/>
      <c r="DHK2" s="15"/>
      <c r="DHL2" s="15"/>
      <c r="DHM2" s="15"/>
      <c r="DHN2" s="15"/>
      <c r="DHO2" s="15"/>
      <c r="DHP2" s="15"/>
      <c r="DHQ2" s="15"/>
      <c r="DHR2" s="15"/>
      <c r="DHS2" s="15"/>
      <c r="DHT2" s="15"/>
      <c r="DHU2" s="15"/>
      <c r="DHV2" s="15"/>
      <c r="DHW2" s="15"/>
      <c r="DHX2" s="15"/>
      <c r="DHY2" s="15"/>
      <c r="DHZ2" s="15"/>
      <c r="DIA2" s="15"/>
      <c r="DIB2" s="15"/>
      <c r="DIC2" s="15"/>
      <c r="DID2" s="15"/>
      <c r="DIE2" s="15"/>
      <c r="DIF2" s="15"/>
      <c r="DIG2" s="15"/>
      <c r="DIH2" s="15"/>
      <c r="DII2" s="15"/>
      <c r="DIJ2" s="15"/>
      <c r="DIK2" s="15"/>
      <c r="DIL2" s="15"/>
      <c r="DIM2" s="15"/>
      <c r="DIN2" s="15"/>
      <c r="DIO2" s="15"/>
      <c r="DIP2" s="15"/>
      <c r="DIQ2" s="15"/>
      <c r="DIR2" s="15"/>
      <c r="DIS2" s="15"/>
      <c r="DIT2" s="15"/>
      <c r="DIU2" s="15"/>
      <c r="DIV2" s="15"/>
      <c r="DIW2" s="15"/>
      <c r="DIX2" s="15"/>
      <c r="DIY2" s="15"/>
      <c r="DIZ2" s="15"/>
      <c r="DJA2" s="15"/>
      <c r="DJB2" s="15"/>
      <c r="DJC2" s="15"/>
      <c r="DJD2" s="15"/>
      <c r="DJE2" s="15"/>
      <c r="DJF2" s="15"/>
      <c r="DJG2" s="15"/>
      <c r="DJH2" s="15"/>
      <c r="DJI2" s="15"/>
      <c r="DJJ2" s="15"/>
      <c r="DJK2" s="15"/>
      <c r="DJL2" s="15"/>
      <c r="DJM2" s="15"/>
      <c r="DJN2" s="15"/>
      <c r="DJO2" s="15"/>
      <c r="DJP2" s="15"/>
      <c r="DJQ2" s="15"/>
      <c r="DJR2" s="15"/>
      <c r="DJS2" s="15"/>
      <c r="DJT2" s="15"/>
      <c r="DJU2" s="15"/>
      <c r="DJV2" s="15"/>
      <c r="DJW2" s="15"/>
      <c r="DJX2" s="15"/>
      <c r="DJY2" s="15"/>
      <c r="DJZ2" s="15"/>
      <c r="DKA2" s="15"/>
      <c r="DKB2" s="15"/>
      <c r="DKC2" s="15"/>
      <c r="DKD2" s="15"/>
      <c r="DKE2" s="15"/>
      <c r="DKF2" s="15"/>
      <c r="DKG2" s="15"/>
      <c r="DKH2" s="15"/>
      <c r="DKI2" s="15"/>
      <c r="DKJ2" s="15"/>
      <c r="DKK2" s="15"/>
      <c r="DKL2" s="15"/>
      <c r="DKM2" s="15"/>
      <c r="DKN2" s="15"/>
      <c r="DKO2" s="15"/>
      <c r="DKP2" s="15"/>
      <c r="DKQ2" s="15"/>
      <c r="DKR2" s="15"/>
      <c r="DKS2" s="15"/>
      <c r="DKT2" s="15"/>
      <c r="DKU2" s="15"/>
      <c r="DKV2" s="15"/>
      <c r="DKW2" s="15"/>
      <c r="DKX2" s="15"/>
      <c r="DKY2" s="15"/>
      <c r="DKZ2" s="15"/>
      <c r="DLA2" s="15"/>
      <c r="DLB2" s="15"/>
      <c r="DLC2" s="15"/>
      <c r="DLD2" s="15"/>
      <c r="DLE2" s="15"/>
      <c r="DLF2" s="15"/>
      <c r="DLG2" s="15"/>
      <c r="DLH2" s="15"/>
      <c r="DLI2" s="15"/>
      <c r="DLJ2" s="15"/>
      <c r="DLK2" s="15"/>
      <c r="DLL2" s="15"/>
      <c r="DLM2" s="15"/>
      <c r="DLN2" s="15"/>
      <c r="DLO2" s="15"/>
      <c r="DLP2" s="15"/>
      <c r="DLQ2" s="15"/>
      <c r="DLR2" s="15"/>
      <c r="DLS2" s="15"/>
      <c r="DLT2" s="15"/>
      <c r="DLU2" s="15"/>
      <c r="DLV2" s="15"/>
      <c r="DLW2" s="15"/>
      <c r="DLX2" s="15"/>
      <c r="DLY2" s="15"/>
      <c r="DLZ2" s="15"/>
      <c r="DMA2" s="15"/>
      <c r="DMB2" s="15"/>
      <c r="DMC2" s="15"/>
      <c r="DMD2" s="15"/>
      <c r="DME2" s="15"/>
      <c r="DMF2" s="15"/>
      <c r="DMG2" s="15"/>
      <c r="DMH2" s="15"/>
      <c r="DMI2" s="15"/>
      <c r="DMJ2" s="15"/>
      <c r="DMK2" s="15"/>
      <c r="DML2" s="15"/>
      <c r="DMM2" s="15"/>
      <c r="DMN2" s="15"/>
      <c r="DMO2" s="15"/>
      <c r="DMP2" s="15"/>
      <c r="DMQ2" s="15"/>
      <c r="DMR2" s="15"/>
      <c r="DMS2" s="15"/>
      <c r="DMT2" s="15"/>
      <c r="DMU2" s="15"/>
      <c r="DMV2" s="15"/>
      <c r="DMW2" s="15"/>
      <c r="DMX2" s="15"/>
      <c r="DMY2" s="15"/>
      <c r="DMZ2" s="15"/>
      <c r="DNA2" s="15"/>
      <c r="DNB2" s="15"/>
      <c r="DNC2" s="15"/>
      <c r="DND2" s="15"/>
      <c r="DNE2" s="15"/>
      <c r="DNF2" s="15"/>
      <c r="DNG2" s="15"/>
      <c r="DNH2" s="15"/>
      <c r="DNI2" s="15"/>
      <c r="DNJ2" s="15"/>
      <c r="DNK2" s="15"/>
      <c r="DNL2" s="15"/>
      <c r="DNM2" s="15"/>
      <c r="DNN2" s="15"/>
      <c r="DNO2" s="15"/>
      <c r="DNP2" s="15"/>
      <c r="DNQ2" s="15"/>
      <c r="DNR2" s="15"/>
      <c r="DNS2" s="15"/>
      <c r="DNT2" s="15"/>
      <c r="DNU2" s="15"/>
      <c r="DNV2" s="15"/>
      <c r="DNW2" s="15"/>
      <c r="DNX2" s="15"/>
      <c r="DNY2" s="15"/>
      <c r="DNZ2" s="15"/>
      <c r="DOA2" s="15"/>
      <c r="DOB2" s="15"/>
      <c r="DOC2" s="15"/>
      <c r="DOD2" s="15"/>
      <c r="DOE2" s="15"/>
      <c r="DOF2" s="15"/>
      <c r="DOG2" s="15"/>
      <c r="DOH2" s="15"/>
      <c r="DOI2" s="15"/>
      <c r="DOJ2" s="15"/>
      <c r="DOK2" s="15"/>
      <c r="DOL2" s="15"/>
      <c r="DOM2" s="15"/>
      <c r="DON2" s="15"/>
      <c r="DOO2" s="15"/>
      <c r="DOP2" s="15"/>
      <c r="DOQ2" s="15"/>
      <c r="DOR2" s="15"/>
      <c r="DOS2" s="15"/>
      <c r="DOT2" s="15"/>
      <c r="DOU2" s="15"/>
      <c r="DOV2" s="15"/>
      <c r="DOW2" s="15"/>
      <c r="DOX2" s="15"/>
      <c r="DOY2" s="15"/>
      <c r="DOZ2" s="15"/>
      <c r="DPA2" s="15"/>
      <c r="DPB2" s="15"/>
      <c r="DPC2" s="15"/>
      <c r="DPD2" s="15"/>
      <c r="DPE2" s="15"/>
      <c r="DPF2" s="15"/>
      <c r="DPG2" s="15"/>
      <c r="DPH2" s="15"/>
      <c r="DPI2" s="15"/>
      <c r="DPJ2" s="15"/>
      <c r="DPK2" s="15"/>
      <c r="DPL2" s="15"/>
      <c r="DPM2" s="15"/>
      <c r="DPN2" s="15"/>
      <c r="DPO2" s="15"/>
      <c r="DPP2" s="15"/>
      <c r="DPQ2" s="15"/>
      <c r="DPR2" s="15"/>
      <c r="DPS2" s="15"/>
      <c r="DPT2" s="15"/>
      <c r="DPU2" s="15"/>
      <c r="DPV2" s="15"/>
      <c r="DPW2" s="15"/>
      <c r="DPX2" s="15"/>
      <c r="DPY2" s="15"/>
      <c r="DPZ2" s="15"/>
      <c r="DQA2" s="15"/>
      <c r="DQB2" s="15"/>
      <c r="DQC2" s="15"/>
      <c r="DQD2" s="15"/>
      <c r="DQE2" s="15"/>
      <c r="DQF2" s="15"/>
      <c r="DQG2" s="15"/>
      <c r="DQH2" s="15"/>
      <c r="DQI2" s="15"/>
      <c r="DQJ2" s="15"/>
      <c r="DQK2" s="15"/>
      <c r="DQL2" s="15"/>
      <c r="DQM2" s="15"/>
      <c r="DQN2" s="15"/>
      <c r="DQO2" s="15"/>
      <c r="DQP2" s="15"/>
      <c r="DQQ2" s="15"/>
      <c r="DQR2" s="15"/>
      <c r="DQS2" s="15"/>
      <c r="DQT2" s="15"/>
      <c r="DQU2" s="15"/>
      <c r="DQV2" s="15"/>
      <c r="DQW2" s="15"/>
      <c r="DQX2" s="15"/>
      <c r="DQY2" s="15"/>
      <c r="DQZ2" s="15"/>
      <c r="DRA2" s="15"/>
      <c r="DRB2" s="15"/>
      <c r="DRC2" s="15"/>
      <c r="DRD2" s="15"/>
      <c r="DRE2" s="15"/>
      <c r="DRF2" s="15"/>
      <c r="DRG2" s="15"/>
      <c r="DRH2" s="15"/>
      <c r="DRI2" s="15"/>
      <c r="DRJ2" s="15"/>
      <c r="DRK2" s="15"/>
      <c r="DRL2" s="15"/>
      <c r="DRM2" s="15"/>
      <c r="DRN2" s="15"/>
      <c r="DRO2" s="15"/>
      <c r="DRP2" s="15"/>
      <c r="DRQ2" s="15"/>
      <c r="DRR2" s="15"/>
      <c r="DRS2" s="15"/>
      <c r="DRT2" s="15"/>
      <c r="DRU2" s="15"/>
      <c r="DRV2" s="15"/>
      <c r="DRW2" s="15"/>
      <c r="DRX2" s="15"/>
      <c r="DRY2" s="15"/>
      <c r="DRZ2" s="15"/>
      <c r="DSA2" s="15"/>
      <c r="DSB2" s="15"/>
      <c r="DSC2" s="15"/>
      <c r="DSD2" s="15"/>
      <c r="DSE2" s="15"/>
      <c r="DSF2" s="15"/>
      <c r="DSG2" s="15"/>
      <c r="DSH2" s="15"/>
      <c r="DSI2" s="15"/>
      <c r="DSJ2" s="15"/>
      <c r="DSK2" s="15"/>
      <c r="DSL2" s="15"/>
      <c r="DSM2" s="15"/>
      <c r="DSN2" s="15"/>
      <c r="DSO2" s="15"/>
      <c r="DSP2" s="15"/>
      <c r="DSQ2" s="15"/>
      <c r="DSR2" s="15"/>
      <c r="DSS2" s="15"/>
      <c r="DST2" s="15"/>
      <c r="DSU2" s="15"/>
      <c r="DSV2" s="15"/>
      <c r="DSW2" s="15"/>
      <c r="DSX2" s="15"/>
      <c r="DSY2" s="15"/>
      <c r="DSZ2" s="15"/>
      <c r="DTA2" s="15"/>
      <c r="DTB2" s="15"/>
      <c r="DTC2" s="15"/>
      <c r="DTD2" s="15"/>
      <c r="DTE2" s="15"/>
      <c r="DTF2" s="15"/>
      <c r="DTG2" s="15"/>
      <c r="DTH2" s="15"/>
      <c r="DTI2" s="15"/>
      <c r="DTJ2" s="15"/>
      <c r="DTK2" s="15"/>
      <c r="DTL2" s="15"/>
      <c r="DTM2" s="15"/>
      <c r="DTN2" s="15"/>
      <c r="DTO2" s="15"/>
      <c r="DTP2" s="15"/>
      <c r="DTQ2" s="15"/>
      <c r="DTR2" s="15"/>
      <c r="DTS2" s="15"/>
      <c r="DTT2" s="15"/>
      <c r="DTU2" s="15"/>
      <c r="DTV2" s="15"/>
      <c r="DTW2" s="15"/>
      <c r="DTX2" s="15"/>
      <c r="DTY2" s="15"/>
      <c r="DTZ2" s="15"/>
      <c r="DUA2" s="15"/>
      <c r="DUB2" s="15"/>
      <c r="DUC2" s="15"/>
      <c r="DUD2" s="15"/>
      <c r="DUE2" s="15"/>
      <c r="DUF2" s="15"/>
      <c r="DUG2" s="15"/>
      <c r="DUH2" s="15"/>
      <c r="DUI2" s="15"/>
      <c r="DUJ2" s="15"/>
      <c r="DUK2" s="15"/>
      <c r="DUL2" s="15"/>
      <c r="DUM2" s="15"/>
      <c r="DUN2" s="15"/>
      <c r="DUO2" s="15"/>
      <c r="DUP2" s="15"/>
      <c r="DUQ2" s="15"/>
      <c r="DUR2" s="15"/>
      <c r="DUS2" s="15"/>
      <c r="DUT2" s="15"/>
      <c r="DUU2" s="15"/>
      <c r="DUV2" s="15"/>
      <c r="DUW2" s="15"/>
      <c r="DUX2" s="15"/>
      <c r="DUY2" s="15"/>
      <c r="DUZ2" s="15"/>
      <c r="DVA2" s="15"/>
      <c r="DVB2" s="15"/>
      <c r="DVC2" s="15"/>
      <c r="DVD2" s="15"/>
      <c r="DVE2" s="15"/>
      <c r="DVF2" s="15"/>
      <c r="DVG2" s="15"/>
      <c r="DVH2" s="15"/>
      <c r="DVI2" s="15"/>
      <c r="DVJ2" s="15"/>
      <c r="DVK2" s="15"/>
      <c r="DVL2" s="15"/>
      <c r="DVM2" s="15"/>
      <c r="DVN2" s="15"/>
      <c r="DVO2" s="15"/>
      <c r="DVP2" s="15"/>
      <c r="DVQ2" s="15"/>
      <c r="DVR2" s="15"/>
      <c r="DVS2" s="15"/>
      <c r="DVT2" s="15"/>
      <c r="DVU2" s="15"/>
      <c r="DVV2" s="15"/>
      <c r="DVW2" s="15"/>
      <c r="DVX2" s="15"/>
      <c r="DVY2" s="15"/>
      <c r="DVZ2" s="15"/>
      <c r="DWA2" s="15"/>
      <c r="DWB2" s="15"/>
      <c r="DWC2" s="15"/>
      <c r="DWD2" s="15"/>
      <c r="DWE2" s="15"/>
      <c r="DWF2" s="15"/>
      <c r="DWG2" s="15"/>
      <c r="DWH2" s="15"/>
      <c r="DWI2" s="15"/>
      <c r="DWJ2" s="15"/>
      <c r="DWK2" s="15"/>
      <c r="DWL2" s="15"/>
      <c r="DWM2" s="15"/>
      <c r="DWN2" s="15"/>
      <c r="DWO2" s="15"/>
      <c r="DWP2" s="15"/>
      <c r="DWQ2" s="15"/>
      <c r="DWR2" s="15"/>
      <c r="DWS2" s="15"/>
      <c r="DWT2" s="15"/>
      <c r="DWU2" s="15"/>
      <c r="DWV2" s="15"/>
      <c r="DWW2" s="15"/>
      <c r="DWX2" s="15"/>
      <c r="DWY2" s="15"/>
      <c r="DWZ2" s="15"/>
      <c r="DXA2" s="15"/>
      <c r="DXB2" s="15"/>
      <c r="DXC2" s="15"/>
      <c r="DXD2" s="15"/>
      <c r="DXE2" s="15"/>
      <c r="DXF2" s="15"/>
      <c r="DXG2" s="15"/>
      <c r="DXH2" s="15"/>
      <c r="DXI2" s="15"/>
      <c r="DXJ2" s="15"/>
      <c r="DXK2" s="15"/>
      <c r="DXL2" s="15"/>
      <c r="DXM2" s="15"/>
      <c r="DXN2" s="15"/>
      <c r="DXO2" s="15"/>
      <c r="DXP2" s="15"/>
      <c r="DXQ2" s="15"/>
      <c r="DXR2" s="15"/>
      <c r="DXS2" s="15"/>
      <c r="DXT2" s="15"/>
      <c r="DXU2" s="15"/>
      <c r="DXV2" s="15"/>
      <c r="DXW2" s="15"/>
      <c r="DXX2" s="15"/>
      <c r="DXY2" s="15"/>
      <c r="DXZ2" s="15"/>
      <c r="DYA2" s="15"/>
      <c r="DYB2" s="15"/>
      <c r="DYC2" s="15"/>
      <c r="DYD2" s="15"/>
      <c r="DYE2" s="15"/>
      <c r="DYF2" s="15"/>
      <c r="DYG2" s="15"/>
      <c r="DYH2" s="15"/>
      <c r="DYI2" s="15"/>
      <c r="DYJ2" s="15"/>
      <c r="DYK2" s="15"/>
      <c r="DYL2" s="15"/>
      <c r="DYM2" s="15"/>
      <c r="DYN2" s="15"/>
      <c r="DYO2" s="15"/>
      <c r="DYP2" s="15"/>
      <c r="DYQ2" s="15"/>
      <c r="DYR2" s="15"/>
      <c r="DYS2" s="15"/>
      <c r="DYT2" s="15"/>
      <c r="DYU2" s="15"/>
      <c r="DYV2" s="15"/>
      <c r="DYW2" s="15"/>
      <c r="DYX2" s="15"/>
      <c r="DYY2" s="15"/>
      <c r="DYZ2" s="15"/>
      <c r="DZA2" s="15"/>
      <c r="DZB2" s="15"/>
      <c r="DZC2" s="15"/>
      <c r="DZD2" s="15"/>
      <c r="DZE2" s="15"/>
      <c r="DZF2" s="15"/>
      <c r="DZG2" s="15"/>
      <c r="DZH2" s="15"/>
      <c r="DZI2" s="15"/>
      <c r="DZJ2" s="15"/>
      <c r="DZK2" s="15"/>
      <c r="DZL2" s="15"/>
      <c r="DZM2" s="15"/>
      <c r="DZN2" s="15"/>
      <c r="DZO2" s="15"/>
      <c r="DZP2" s="15"/>
      <c r="DZQ2" s="15"/>
      <c r="DZR2" s="15"/>
      <c r="DZS2" s="15"/>
      <c r="DZT2" s="15"/>
      <c r="DZU2" s="15"/>
      <c r="DZV2" s="15"/>
      <c r="DZW2" s="15"/>
      <c r="DZX2" s="15"/>
      <c r="DZY2" s="15"/>
      <c r="DZZ2" s="15"/>
      <c r="EAA2" s="15"/>
      <c r="EAB2" s="15"/>
      <c r="EAC2" s="15"/>
      <c r="EAD2" s="15"/>
      <c r="EAE2" s="15"/>
      <c r="EAF2" s="15"/>
      <c r="EAG2" s="15"/>
      <c r="EAH2" s="15"/>
      <c r="EAI2" s="15"/>
      <c r="EAJ2" s="15"/>
      <c r="EAK2" s="15"/>
      <c r="EAL2" s="15"/>
      <c r="EAM2" s="15"/>
      <c r="EAN2" s="15"/>
      <c r="EAO2" s="15"/>
      <c r="EAP2" s="15"/>
      <c r="EAQ2" s="15"/>
      <c r="EAR2" s="15"/>
      <c r="EAS2" s="15"/>
      <c r="EAT2" s="15"/>
      <c r="EAU2" s="15"/>
      <c r="EAV2" s="15"/>
      <c r="EAW2" s="15"/>
      <c r="EAX2" s="15"/>
      <c r="EAY2" s="15"/>
      <c r="EAZ2" s="15"/>
      <c r="EBA2" s="15"/>
      <c r="EBB2" s="15"/>
      <c r="EBC2" s="15"/>
      <c r="EBD2" s="15"/>
      <c r="EBE2" s="15"/>
      <c r="EBF2" s="15"/>
      <c r="EBG2" s="15"/>
      <c r="EBH2" s="15"/>
      <c r="EBI2" s="15"/>
      <c r="EBJ2" s="15"/>
      <c r="EBK2" s="15"/>
      <c r="EBL2" s="15"/>
      <c r="EBM2" s="15"/>
      <c r="EBN2" s="15"/>
      <c r="EBO2" s="15"/>
      <c r="EBP2" s="15"/>
      <c r="EBQ2" s="15"/>
      <c r="EBR2" s="15"/>
      <c r="EBS2" s="15"/>
      <c r="EBT2" s="15"/>
      <c r="EBU2" s="15"/>
      <c r="EBV2" s="15"/>
      <c r="EBW2" s="15"/>
      <c r="EBX2" s="15"/>
      <c r="EBY2" s="15"/>
      <c r="EBZ2" s="15"/>
      <c r="ECA2" s="15"/>
      <c r="ECB2" s="15"/>
      <c r="ECC2" s="15"/>
      <c r="ECD2" s="15"/>
      <c r="ECE2" s="15"/>
      <c r="ECF2" s="15"/>
      <c r="ECG2" s="15"/>
      <c r="ECH2" s="15"/>
      <c r="ECI2" s="15"/>
      <c r="ECJ2" s="15"/>
      <c r="ECK2" s="15"/>
      <c r="ECL2" s="15"/>
      <c r="ECM2" s="15"/>
      <c r="ECN2" s="15"/>
      <c r="ECO2" s="15"/>
      <c r="ECP2" s="15"/>
      <c r="ECQ2" s="15"/>
      <c r="ECR2" s="15"/>
      <c r="ECS2" s="15"/>
      <c r="ECT2" s="15"/>
      <c r="ECU2" s="15"/>
      <c r="ECV2" s="15"/>
      <c r="ECW2" s="15"/>
      <c r="ECX2" s="15"/>
      <c r="ECY2" s="15"/>
      <c r="ECZ2" s="15"/>
      <c r="EDA2" s="15"/>
      <c r="EDB2" s="15"/>
      <c r="EDC2" s="15"/>
      <c r="EDD2" s="15"/>
      <c r="EDE2" s="15"/>
      <c r="EDF2" s="15"/>
      <c r="EDG2" s="15"/>
      <c r="EDH2" s="15"/>
      <c r="EDI2" s="15"/>
      <c r="EDJ2" s="15"/>
      <c r="EDK2" s="15"/>
      <c r="EDL2" s="15"/>
      <c r="EDM2" s="15"/>
      <c r="EDN2" s="15"/>
      <c r="EDO2" s="15"/>
      <c r="EDP2" s="15"/>
      <c r="EDQ2" s="15"/>
      <c r="EDR2" s="15"/>
      <c r="EDS2" s="15"/>
      <c r="EDT2" s="15"/>
      <c r="EDU2" s="15"/>
      <c r="EDV2" s="15"/>
      <c r="EDW2" s="15"/>
      <c r="EDX2" s="15"/>
      <c r="EDY2" s="15"/>
      <c r="EDZ2" s="15"/>
      <c r="EEA2" s="15"/>
      <c r="EEB2" s="15"/>
      <c r="EEC2" s="15"/>
      <c r="EED2" s="15"/>
      <c r="EEE2" s="15"/>
      <c r="EEF2" s="15"/>
      <c r="EEG2" s="15"/>
      <c r="EEH2" s="15"/>
      <c r="EEI2" s="15"/>
      <c r="EEJ2" s="15"/>
      <c r="EEK2" s="15"/>
      <c r="EEL2" s="15"/>
      <c r="EEM2" s="15"/>
      <c r="EEN2" s="15"/>
      <c r="EEO2" s="15"/>
      <c r="EEP2" s="15"/>
      <c r="EEQ2" s="15"/>
      <c r="EER2" s="15"/>
      <c r="EES2" s="15"/>
      <c r="EET2" s="15"/>
      <c r="EEU2" s="15"/>
      <c r="EEV2" s="15"/>
      <c r="EEW2" s="15"/>
      <c r="EEX2" s="15"/>
      <c r="EEY2" s="15"/>
      <c r="EEZ2" s="15"/>
      <c r="EFA2" s="15"/>
      <c r="EFB2" s="15"/>
      <c r="EFC2" s="15"/>
      <c r="EFD2" s="15"/>
      <c r="EFE2" s="15"/>
      <c r="EFF2" s="15"/>
      <c r="EFG2" s="15"/>
      <c r="EFH2" s="15"/>
      <c r="EFI2" s="15"/>
      <c r="EFJ2" s="15"/>
      <c r="EFK2" s="15"/>
      <c r="EFL2" s="15"/>
      <c r="EFM2" s="15"/>
      <c r="EFN2" s="15"/>
      <c r="EFO2" s="15"/>
      <c r="EFP2" s="15"/>
      <c r="EFQ2" s="15"/>
      <c r="EFR2" s="15"/>
      <c r="EFS2" s="15"/>
      <c r="EFT2" s="15"/>
      <c r="EFU2" s="15"/>
      <c r="EFV2" s="15"/>
      <c r="EFW2" s="15"/>
      <c r="EFX2" s="15"/>
      <c r="EFY2" s="15"/>
      <c r="EFZ2" s="15"/>
      <c r="EGA2" s="15"/>
      <c r="EGB2" s="15"/>
      <c r="EGC2" s="15"/>
      <c r="EGD2" s="15"/>
      <c r="EGE2" s="15"/>
      <c r="EGF2" s="15"/>
      <c r="EGG2" s="15"/>
      <c r="EGH2" s="15"/>
      <c r="EGI2" s="15"/>
      <c r="EGJ2" s="15"/>
      <c r="EGK2" s="15"/>
      <c r="EGL2" s="15"/>
      <c r="EGM2" s="15"/>
      <c r="EGN2" s="15"/>
      <c r="EGO2" s="15"/>
      <c r="EGP2" s="15"/>
      <c r="EGQ2" s="15"/>
      <c r="EGR2" s="15"/>
      <c r="EGS2" s="15"/>
      <c r="EGT2" s="15"/>
      <c r="EGU2" s="15"/>
      <c r="EGV2" s="15"/>
      <c r="EGW2" s="15"/>
      <c r="EGX2" s="15"/>
      <c r="EGY2" s="15"/>
      <c r="EGZ2" s="15"/>
      <c r="EHA2" s="15"/>
      <c r="EHB2" s="15"/>
      <c r="EHC2" s="15"/>
      <c r="EHD2" s="15"/>
      <c r="EHE2" s="15"/>
      <c r="EHF2" s="15"/>
      <c r="EHG2" s="15"/>
      <c r="EHH2" s="15"/>
      <c r="EHI2" s="15"/>
      <c r="EHJ2" s="15"/>
      <c r="EHK2" s="15"/>
      <c r="EHL2" s="15"/>
      <c r="EHM2" s="15"/>
      <c r="EHN2" s="15"/>
      <c r="EHO2" s="15"/>
      <c r="EHP2" s="15"/>
      <c r="EHQ2" s="15"/>
      <c r="EHR2" s="15"/>
      <c r="EHS2" s="15"/>
      <c r="EHT2" s="15"/>
      <c r="EHU2" s="15"/>
      <c r="EHV2" s="15"/>
      <c r="EHW2" s="15"/>
      <c r="EHX2" s="15"/>
      <c r="EHY2" s="15"/>
      <c r="EHZ2" s="15"/>
      <c r="EIA2" s="15"/>
      <c r="EIB2" s="15"/>
      <c r="EIC2" s="15"/>
      <c r="EID2" s="15"/>
      <c r="EIE2" s="15"/>
      <c r="EIF2" s="15"/>
      <c r="EIG2" s="15"/>
      <c r="EIH2" s="15"/>
      <c r="EII2" s="15"/>
      <c r="EIJ2" s="15"/>
      <c r="EIK2" s="15"/>
      <c r="EIL2" s="15"/>
      <c r="EIM2" s="15"/>
      <c r="EIN2" s="15"/>
      <c r="EIO2" s="15"/>
      <c r="EIP2" s="15"/>
      <c r="EIQ2" s="15"/>
      <c r="EIR2" s="15"/>
      <c r="EIS2" s="15"/>
      <c r="EIT2" s="15"/>
      <c r="EIU2" s="15"/>
      <c r="EIV2" s="15"/>
      <c r="EIW2" s="15"/>
      <c r="EIX2" s="15"/>
      <c r="EIY2" s="15"/>
      <c r="EIZ2" s="15"/>
      <c r="EJA2" s="15"/>
      <c r="EJB2" s="15"/>
      <c r="EJC2" s="15"/>
      <c r="EJD2" s="15"/>
      <c r="EJE2" s="15"/>
      <c r="EJF2" s="15"/>
      <c r="EJG2" s="15"/>
      <c r="EJH2" s="15"/>
      <c r="EJI2" s="15"/>
      <c r="EJJ2" s="15"/>
      <c r="EJK2" s="15"/>
      <c r="EJL2" s="15"/>
      <c r="EJM2" s="15"/>
      <c r="EJN2" s="15"/>
      <c r="EJO2" s="15"/>
      <c r="EJP2" s="15"/>
      <c r="EJQ2" s="15"/>
      <c r="EJR2" s="15"/>
      <c r="EJS2" s="15"/>
      <c r="EJT2" s="15"/>
      <c r="EJU2" s="15"/>
      <c r="EJV2" s="15"/>
      <c r="EJW2" s="15"/>
      <c r="EJX2" s="15"/>
      <c r="EJY2" s="15"/>
      <c r="EJZ2" s="15"/>
      <c r="EKA2" s="15"/>
      <c r="EKB2" s="15"/>
      <c r="EKC2" s="15"/>
      <c r="EKD2" s="15"/>
      <c r="EKE2" s="15"/>
      <c r="EKF2" s="15"/>
      <c r="EKG2" s="15"/>
      <c r="EKH2" s="15"/>
      <c r="EKI2" s="15"/>
      <c r="EKJ2" s="15"/>
      <c r="EKK2" s="15"/>
      <c r="EKL2" s="15"/>
      <c r="EKM2" s="15"/>
      <c r="EKN2" s="15"/>
      <c r="EKO2" s="15"/>
      <c r="EKP2" s="15"/>
      <c r="EKQ2" s="15"/>
      <c r="EKR2" s="15"/>
      <c r="EKS2" s="15"/>
      <c r="EKT2" s="15"/>
      <c r="EKU2" s="15"/>
      <c r="EKV2" s="15"/>
      <c r="EKW2" s="15"/>
      <c r="EKX2" s="15"/>
      <c r="EKY2" s="15"/>
      <c r="EKZ2" s="15"/>
      <c r="ELA2" s="15"/>
      <c r="ELB2" s="15"/>
      <c r="ELC2" s="15"/>
      <c r="ELD2" s="15"/>
      <c r="ELE2" s="15"/>
      <c r="ELF2" s="15"/>
      <c r="ELG2" s="15"/>
      <c r="ELH2" s="15"/>
      <c r="ELI2" s="15"/>
      <c r="ELJ2" s="15"/>
      <c r="ELK2" s="15"/>
      <c r="ELL2" s="15"/>
      <c r="ELM2" s="15"/>
      <c r="ELN2" s="15"/>
      <c r="ELO2" s="15"/>
      <c r="ELP2" s="15"/>
      <c r="ELQ2" s="15"/>
      <c r="ELR2" s="15"/>
      <c r="ELS2" s="15"/>
      <c r="ELT2" s="15"/>
      <c r="ELU2" s="15"/>
      <c r="ELV2" s="15"/>
      <c r="ELW2" s="15"/>
      <c r="ELX2" s="15"/>
      <c r="ELY2" s="15"/>
      <c r="ELZ2" s="15"/>
      <c r="EMA2" s="15"/>
      <c r="EMB2" s="15"/>
      <c r="EMC2" s="15"/>
      <c r="EMD2" s="15"/>
      <c r="EME2" s="15"/>
      <c r="EMF2" s="15"/>
      <c r="EMG2" s="15"/>
      <c r="EMH2" s="15"/>
      <c r="EMI2" s="15"/>
      <c r="EMJ2" s="15"/>
      <c r="EMK2" s="15"/>
      <c r="EML2" s="15"/>
      <c r="EMM2" s="15"/>
      <c r="EMN2" s="15"/>
      <c r="EMO2" s="15"/>
      <c r="EMP2" s="15"/>
      <c r="EMQ2" s="15"/>
      <c r="EMR2" s="15"/>
      <c r="EMS2" s="15"/>
      <c r="EMT2" s="15"/>
      <c r="EMU2" s="15"/>
      <c r="EMV2" s="15"/>
      <c r="EMW2" s="15"/>
      <c r="EMX2" s="15"/>
      <c r="EMY2" s="15"/>
      <c r="EMZ2" s="15"/>
      <c r="ENA2" s="15"/>
      <c r="ENB2" s="15"/>
      <c r="ENC2" s="15"/>
      <c r="END2" s="15"/>
      <c r="ENE2" s="15"/>
      <c r="ENF2" s="15"/>
      <c r="ENG2" s="15"/>
      <c r="ENH2" s="15"/>
      <c r="ENI2" s="15"/>
      <c r="ENJ2" s="15"/>
      <c r="ENK2" s="15"/>
      <c r="ENL2" s="15"/>
      <c r="ENM2" s="15"/>
      <c r="ENN2" s="15"/>
      <c r="ENO2" s="15"/>
      <c r="ENP2" s="15"/>
      <c r="ENQ2" s="15"/>
      <c r="ENR2" s="15"/>
      <c r="ENS2" s="15"/>
      <c r="ENT2" s="15"/>
      <c r="ENU2" s="15"/>
      <c r="ENV2" s="15"/>
      <c r="ENW2" s="15"/>
      <c r="ENX2" s="15"/>
      <c r="ENY2" s="15"/>
      <c r="ENZ2" s="15"/>
      <c r="EOA2" s="15"/>
      <c r="EOB2" s="15"/>
      <c r="EOC2" s="15"/>
      <c r="EOD2" s="15"/>
      <c r="EOE2" s="15"/>
      <c r="EOF2" s="15"/>
      <c r="EOG2" s="15"/>
      <c r="EOH2" s="15"/>
      <c r="EOI2" s="15"/>
      <c r="EOJ2" s="15"/>
      <c r="EOK2" s="15"/>
      <c r="EOL2" s="15"/>
      <c r="EOM2" s="15"/>
      <c r="EON2" s="15"/>
      <c r="EOO2" s="15"/>
      <c r="EOP2" s="15"/>
      <c r="EOQ2" s="15"/>
      <c r="EOR2" s="15"/>
      <c r="EOS2" s="15"/>
      <c r="EOT2" s="15"/>
      <c r="EOU2" s="15"/>
      <c r="EOV2" s="15"/>
      <c r="EOW2" s="15"/>
      <c r="EOX2" s="15"/>
      <c r="EOY2" s="15"/>
      <c r="EOZ2" s="15"/>
      <c r="EPA2" s="15"/>
      <c r="EPB2" s="15"/>
      <c r="EPC2" s="15"/>
      <c r="EPD2" s="15"/>
      <c r="EPE2" s="15"/>
      <c r="EPF2" s="15"/>
      <c r="EPG2" s="15"/>
      <c r="EPH2" s="15"/>
      <c r="EPI2" s="15"/>
      <c r="EPJ2" s="15"/>
      <c r="EPK2" s="15"/>
      <c r="EPL2" s="15"/>
      <c r="EPM2" s="15"/>
      <c r="EPN2" s="15"/>
      <c r="EPO2" s="15"/>
      <c r="EPP2" s="15"/>
      <c r="EPQ2" s="15"/>
      <c r="EPR2" s="15"/>
      <c r="EPS2" s="15"/>
      <c r="EPT2" s="15"/>
      <c r="EPU2" s="15"/>
      <c r="EPV2" s="15"/>
      <c r="EPW2" s="15"/>
      <c r="EPX2" s="15"/>
      <c r="EPY2" s="15"/>
      <c r="EPZ2" s="15"/>
      <c r="EQA2" s="15"/>
      <c r="EQB2" s="15"/>
      <c r="EQC2" s="15"/>
      <c r="EQD2" s="15"/>
      <c r="EQE2" s="15"/>
      <c r="EQF2" s="15"/>
      <c r="EQG2" s="15"/>
      <c r="EQH2" s="15"/>
      <c r="EQI2" s="15"/>
      <c r="EQJ2" s="15"/>
      <c r="EQK2" s="15"/>
      <c r="EQL2" s="15"/>
      <c r="EQM2" s="15"/>
      <c r="EQN2" s="15"/>
      <c r="EQO2" s="15"/>
      <c r="EQP2" s="15"/>
      <c r="EQQ2" s="15"/>
      <c r="EQR2" s="15"/>
      <c r="EQS2" s="15"/>
      <c r="EQT2" s="15"/>
      <c r="EQU2" s="15"/>
      <c r="EQV2" s="15"/>
      <c r="EQW2" s="15"/>
      <c r="EQX2" s="15"/>
      <c r="EQY2" s="15"/>
      <c r="EQZ2" s="15"/>
      <c r="ERA2" s="15"/>
      <c r="ERB2" s="15"/>
      <c r="ERC2" s="15"/>
      <c r="ERD2" s="15"/>
      <c r="ERE2" s="15"/>
      <c r="ERF2" s="15"/>
      <c r="ERG2" s="15"/>
      <c r="ERH2" s="15"/>
      <c r="ERI2" s="15"/>
      <c r="ERJ2" s="15"/>
      <c r="ERK2" s="15"/>
      <c r="ERL2" s="15"/>
      <c r="ERM2" s="15"/>
      <c r="ERN2" s="15"/>
      <c r="ERO2" s="15"/>
      <c r="ERP2" s="15"/>
      <c r="ERQ2" s="15"/>
      <c r="ERR2" s="15"/>
      <c r="ERS2" s="15"/>
      <c r="ERT2" s="15"/>
      <c r="ERU2" s="15"/>
      <c r="ERV2" s="15"/>
      <c r="ERW2" s="15"/>
      <c r="ERX2" s="15"/>
      <c r="ERY2" s="15"/>
      <c r="ERZ2" s="15"/>
      <c r="ESA2" s="15"/>
      <c r="ESB2" s="15"/>
      <c r="ESC2" s="15"/>
      <c r="ESD2" s="15"/>
      <c r="ESE2" s="15"/>
      <c r="ESF2" s="15"/>
      <c r="ESG2" s="15"/>
      <c r="ESH2" s="15"/>
      <c r="ESI2" s="15"/>
      <c r="ESJ2" s="15"/>
      <c r="ESK2" s="15"/>
      <c r="ESL2" s="15"/>
      <c r="ESM2" s="15"/>
      <c r="ESN2" s="15"/>
      <c r="ESO2" s="15"/>
      <c r="ESP2" s="15"/>
      <c r="ESQ2" s="15"/>
      <c r="ESR2" s="15"/>
      <c r="ESS2" s="15"/>
      <c r="EST2" s="15"/>
      <c r="ESU2" s="15"/>
      <c r="ESV2" s="15"/>
      <c r="ESW2" s="15"/>
      <c r="ESX2" s="15"/>
      <c r="ESY2" s="15"/>
      <c r="ESZ2" s="15"/>
      <c r="ETA2" s="15"/>
      <c r="ETB2" s="15"/>
      <c r="ETC2" s="15"/>
      <c r="ETD2" s="15"/>
      <c r="ETE2" s="15"/>
      <c r="ETF2" s="15"/>
      <c r="ETG2" s="15"/>
      <c r="ETH2" s="15"/>
      <c r="ETI2" s="15"/>
      <c r="ETJ2" s="15"/>
      <c r="ETK2" s="15"/>
      <c r="ETL2" s="15"/>
      <c r="ETM2" s="15"/>
      <c r="ETN2" s="15"/>
      <c r="ETO2" s="15"/>
      <c r="ETP2" s="15"/>
      <c r="ETQ2" s="15"/>
      <c r="ETR2" s="15"/>
      <c r="ETS2" s="15"/>
      <c r="ETT2" s="15"/>
      <c r="ETU2" s="15"/>
      <c r="ETV2" s="15"/>
      <c r="ETW2" s="15"/>
      <c r="ETX2" s="15"/>
      <c r="ETY2" s="15"/>
      <c r="ETZ2" s="15"/>
      <c r="EUA2" s="15"/>
      <c r="EUB2" s="15"/>
      <c r="EUC2" s="15"/>
      <c r="EUD2" s="15"/>
      <c r="EUE2" s="15"/>
      <c r="EUF2" s="15"/>
      <c r="EUG2" s="15"/>
      <c r="EUH2" s="15"/>
      <c r="EUI2" s="15"/>
      <c r="EUJ2" s="15"/>
      <c r="EUK2" s="15"/>
      <c r="EUL2" s="15"/>
      <c r="EUM2" s="15"/>
      <c r="EUN2" s="15"/>
      <c r="EUO2" s="15"/>
      <c r="EUP2" s="15"/>
      <c r="EUQ2" s="15"/>
      <c r="EUR2" s="15"/>
      <c r="EUS2" s="15"/>
      <c r="EUT2" s="15"/>
      <c r="EUU2" s="15"/>
      <c r="EUV2" s="15"/>
      <c r="EUW2" s="15"/>
      <c r="EUX2" s="15"/>
      <c r="EUY2" s="15"/>
      <c r="EUZ2" s="15"/>
      <c r="EVA2" s="15"/>
      <c r="EVB2" s="15"/>
      <c r="EVC2" s="15"/>
      <c r="EVD2" s="15"/>
      <c r="EVE2" s="15"/>
      <c r="EVF2" s="15"/>
      <c r="EVG2" s="15"/>
      <c r="EVH2" s="15"/>
      <c r="EVI2" s="15"/>
      <c r="EVJ2" s="15"/>
      <c r="EVK2" s="15"/>
      <c r="EVL2" s="15"/>
      <c r="EVM2" s="15"/>
      <c r="EVN2" s="15"/>
      <c r="EVO2" s="15"/>
      <c r="EVP2" s="15"/>
      <c r="EVQ2" s="15"/>
      <c r="EVR2" s="15"/>
      <c r="EVS2" s="15"/>
      <c r="EVT2" s="15"/>
      <c r="EVU2" s="15"/>
      <c r="EVV2" s="15"/>
      <c r="EVW2" s="15"/>
      <c r="EVX2" s="15"/>
      <c r="EVY2" s="15"/>
      <c r="EVZ2" s="15"/>
      <c r="EWA2" s="15"/>
      <c r="EWB2" s="15"/>
      <c r="EWC2" s="15"/>
      <c r="EWD2" s="15"/>
      <c r="EWE2" s="15"/>
      <c r="EWF2" s="15"/>
      <c r="EWG2" s="15"/>
      <c r="EWH2" s="15"/>
      <c r="EWI2" s="15"/>
      <c r="EWJ2" s="15"/>
      <c r="EWK2" s="15"/>
      <c r="EWL2" s="15"/>
      <c r="EWM2" s="15"/>
      <c r="EWN2" s="15"/>
      <c r="EWO2" s="15"/>
      <c r="EWP2" s="15"/>
      <c r="EWQ2" s="15"/>
      <c r="EWR2" s="15"/>
      <c r="EWS2" s="15"/>
      <c r="EWT2" s="15"/>
      <c r="EWU2" s="15"/>
      <c r="EWV2" s="15"/>
      <c r="EWW2" s="15"/>
      <c r="EWX2" s="15"/>
      <c r="EWY2" s="15"/>
      <c r="EWZ2" s="15"/>
      <c r="EXA2" s="15"/>
      <c r="EXB2" s="15"/>
      <c r="EXC2" s="15"/>
      <c r="EXD2" s="15"/>
      <c r="EXE2" s="15"/>
      <c r="EXF2" s="15"/>
      <c r="EXG2" s="15"/>
      <c r="EXH2" s="15"/>
      <c r="EXI2" s="15"/>
      <c r="EXJ2" s="15"/>
      <c r="EXK2" s="15"/>
      <c r="EXL2" s="15"/>
      <c r="EXM2" s="15"/>
      <c r="EXN2" s="15"/>
      <c r="EXO2" s="15"/>
      <c r="EXP2" s="15"/>
      <c r="EXQ2" s="15"/>
      <c r="EXR2" s="15"/>
      <c r="EXS2" s="15"/>
      <c r="EXT2" s="15"/>
      <c r="EXU2" s="15"/>
      <c r="EXV2" s="15"/>
      <c r="EXW2" s="15"/>
      <c r="EXX2" s="15"/>
      <c r="EXY2" s="15"/>
      <c r="EXZ2" s="15"/>
      <c r="EYA2" s="15"/>
      <c r="EYB2" s="15"/>
      <c r="EYC2" s="15"/>
      <c r="EYD2" s="15"/>
      <c r="EYE2" s="15"/>
      <c r="EYF2" s="15"/>
      <c r="EYG2" s="15"/>
      <c r="EYH2" s="15"/>
      <c r="EYI2" s="15"/>
      <c r="EYJ2" s="15"/>
      <c r="EYK2" s="15"/>
      <c r="EYL2" s="15"/>
      <c r="EYM2" s="15"/>
      <c r="EYN2" s="15"/>
      <c r="EYO2" s="15"/>
      <c r="EYP2" s="15"/>
      <c r="EYQ2" s="15"/>
      <c r="EYR2" s="15"/>
      <c r="EYS2" s="15"/>
      <c r="EYT2" s="15"/>
      <c r="EYU2" s="15"/>
      <c r="EYV2" s="15"/>
      <c r="EYW2" s="15"/>
      <c r="EYX2" s="15"/>
      <c r="EYY2" s="15"/>
      <c r="EYZ2" s="15"/>
      <c r="EZA2" s="15"/>
      <c r="EZB2" s="15"/>
      <c r="EZC2" s="15"/>
      <c r="EZD2" s="15"/>
      <c r="EZE2" s="15"/>
      <c r="EZF2" s="15"/>
      <c r="EZG2" s="15"/>
      <c r="EZH2" s="15"/>
      <c r="EZI2" s="15"/>
      <c r="EZJ2" s="15"/>
      <c r="EZK2" s="15"/>
      <c r="EZL2" s="15"/>
      <c r="EZM2" s="15"/>
      <c r="EZN2" s="15"/>
      <c r="EZO2" s="15"/>
      <c r="EZP2" s="15"/>
      <c r="EZQ2" s="15"/>
      <c r="EZR2" s="15"/>
      <c r="EZS2" s="15"/>
      <c r="EZT2" s="15"/>
      <c r="EZU2" s="15"/>
      <c r="EZV2" s="15"/>
      <c r="EZW2" s="15"/>
      <c r="EZX2" s="15"/>
      <c r="EZY2" s="15"/>
      <c r="EZZ2" s="15"/>
      <c r="FAA2" s="15"/>
      <c r="FAB2" s="15"/>
      <c r="FAC2" s="15"/>
      <c r="FAD2" s="15"/>
      <c r="FAE2" s="15"/>
      <c r="FAF2" s="15"/>
      <c r="FAG2" s="15"/>
      <c r="FAH2" s="15"/>
      <c r="FAI2" s="15"/>
      <c r="FAJ2" s="15"/>
      <c r="FAK2" s="15"/>
      <c r="FAL2" s="15"/>
      <c r="FAM2" s="15"/>
      <c r="FAN2" s="15"/>
      <c r="FAO2" s="15"/>
      <c r="FAP2" s="15"/>
      <c r="FAQ2" s="15"/>
      <c r="FAR2" s="15"/>
      <c r="FAS2" s="15"/>
      <c r="FAT2" s="15"/>
      <c r="FAU2" s="15"/>
      <c r="FAV2" s="15"/>
      <c r="FAW2" s="15"/>
      <c r="FAX2" s="15"/>
      <c r="FAY2" s="15"/>
      <c r="FAZ2" s="15"/>
      <c r="FBA2" s="15"/>
      <c r="FBB2" s="15"/>
      <c r="FBC2" s="15"/>
      <c r="FBD2" s="15"/>
      <c r="FBE2" s="15"/>
      <c r="FBF2" s="15"/>
      <c r="FBG2" s="15"/>
      <c r="FBH2" s="15"/>
      <c r="FBI2" s="15"/>
      <c r="FBJ2" s="15"/>
      <c r="FBK2" s="15"/>
      <c r="FBL2" s="15"/>
      <c r="FBM2" s="15"/>
      <c r="FBN2" s="15"/>
      <c r="FBO2" s="15"/>
      <c r="FBP2" s="15"/>
      <c r="FBQ2" s="15"/>
      <c r="FBR2" s="15"/>
      <c r="FBS2" s="15"/>
      <c r="FBT2" s="15"/>
      <c r="FBU2" s="15"/>
      <c r="FBV2" s="15"/>
      <c r="FBW2" s="15"/>
      <c r="FBX2" s="15"/>
      <c r="FBY2" s="15"/>
      <c r="FBZ2" s="15"/>
      <c r="FCA2" s="15"/>
      <c r="FCB2" s="15"/>
      <c r="FCC2" s="15"/>
      <c r="FCD2" s="15"/>
      <c r="FCE2" s="15"/>
      <c r="FCF2" s="15"/>
      <c r="FCG2" s="15"/>
      <c r="FCH2" s="15"/>
      <c r="FCI2" s="15"/>
      <c r="FCJ2" s="15"/>
      <c r="FCK2" s="15"/>
      <c r="FCL2" s="15"/>
      <c r="FCM2" s="15"/>
      <c r="FCN2" s="15"/>
      <c r="FCO2" s="15"/>
      <c r="FCP2" s="15"/>
      <c r="FCQ2" s="15"/>
      <c r="FCR2" s="15"/>
      <c r="FCS2" s="15"/>
      <c r="FCT2" s="15"/>
      <c r="FCU2" s="15"/>
      <c r="FCV2" s="15"/>
      <c r="FCW2" s="15"/>
      <c r="FCX2" s="15"/>
      <c r="FCY2" s="15"/>
      <c r="FCZ2" s="15"/>
      <c r="FDA2" s="15"/>
      <c r="FDB2" s="15"/>
      <c r="FDC2" s="15"/>
      <c r="FDD2" s="15"/>
      <c r="FDE2" s="15"/>
      <c r="FDF2" s="15"/>
      <c r="FDG2" s="15"/>
      <c r="FDH2" s="15"/>
      <c r="FDI2" s="15"/>
      <c r="FDJ2" s="15"/>
      <c r="FDK2" s="15"/>
      <c r="FDL2" s="15"/>
      <c r="FDM2" s="15"/>
      <c r="FDN2" s="15"/>
      <c r="FDO2" s="15"/>
      <c r="FDP2" s="15"/>
      <c r="FDQ2" s="15"/>
      <c r="FDR2" s="15"/>
      <c r="FDS2" s="15"/>
      <c r="FDT2" s="15"/>
      <c r="FDU2" s="15"/>
      <c r="FDV2" s="15"/>
      <c r="FDW2" s="15"/>
      <c r="FDX2" s="15"/>
      <c r="FDY2" s="15"/>
      <c r="FDZ2" s="15"/>
      <c r="FEA2" s="15"/>
      <c r="FEB2" s="15"/>
      <c r="FEC2" s="15"/>
      <c r="FED2" s="15"/>
      <c r="FEE2" s="15"/>
      <c r="FEF2" s="15"/>
      <c r="FEG2" s="15"/>
      <c r="FEH2" s="15"/>
      <c r="FEI2" s="15"/>
      <c r="FEJ2" s="15"/>
      <c r="FEK2" s="15"/>
      <c r="FEL2" s="15"/>
      <c r="FEM2" s="15"/>
      <c r="FEN2" s="15"/>
      <c r="FEO2" s="15"/>
      <c r="FEP2" s="15"/>
      <c r="FEQ2" s="15"/>
      <c r="FER2" s="15"/>
      <c r="FES2" s="15"/>
      <c r="FET2" s="15"/>
      <c r="FEU2" s="15"/>
      <c r="FEV2" s="15"/>
      <c r="FEW2" s="15"/>
      <c r="FEX2" s="15"/>
      <c r="FEY2" s="15"/>
      <c r="FEZ2" s="15"/>
      <c r="FFA2" s="15"/>
      <c r="FFB2" s="15"/>
      <c r="FFC2" s="15"/>
      <c r="FFD2" s="15"/>
      <c r="FFE2" s="15"/>
      <c r="FFF2" s="15"/>
      <c r="FFG2" s="15"/>
      <c r="FFH2" s="15"/>
      <c r="FFI2" s="15"/>
      <c r="FFJ2" s="15"/>
      <c r="FFK2" s="15"/>
      <c r="FFL2" s="15"/>
      <c r="FFM2" s="15"/>
      <c r="FFN2" s="15"/>
      <c r="FFO2" s="15"/>
      <c r="FFP2" s="15"/>
      <c r="FFQ2" s="15"/>
      <c r="FFR2" s="15"/>
      <c r="FFS2" s="15"/>
      <c r="FFT2" s="15"/>
      <c r="FFU2" s="15"/>
      <c r="FFV2" s="15"/>
      <c r="FFW2" s="15"/>
      <c r="FFX2" s="15"/>
      <c r="FFY2" s="15"/>
      <c r="FFZ2" s="15"/>
      <c r="FGA2" s="15"/>
      <c r="FGB2" s="15"/>
      <c r="FGC2" s="15"/>
      <c r="FGD2" s="15"/>
      <c r="FGE2" s="15"/>
      <c r="FGF2" s="15"/>
      <c r="FGG2" s="15"/>
      <c r="FGH2" s="15"/>
      <c r="FGI2" s="15"/>
      <c r="FGJ2" s="15"/>
      <c r="FGK2" s="15"/>
      <c r="FGL2" s="15"/>
      <c r="FGM2" s="15"/>
      <c r="FGN2" s="15"/>
      <c r="FGO2" s="15"/>
      <c r="FGP2" s="15"/>
      <c r="FGQ2" s="15"/>
      <c r="FGR2" s="15"/>
      <c r="FGS2" s="15"/>
      <c r="FGT2" s="15"/>
      <c r="FGU2" s="15"/>
      <c r="FGV2" s="15"/>
      <c r="FGW2" s="15"/>
      <c r="FGX2" s="15"/>
      <c r="FGY2" s="15"/>
      <c r="FGZ2" s="15"/>
      <c r="FHA2" s="15"/>
      <c r="FHB2" s="15"/>
      <c r="FHC2" s="15"/>
      <c r="FHD2" s="15"/>
      <c r="FHE2" s="15"/>
      <c r="FHF2" s="15"/>
      <c r="FHG2" s="15"/>
      <c r="FHH2" s="15"/>
      <c r="FHI2" s="15"/>
      <c r="FHJ2" s="15"/>
      <c r="FHK2" s="15"/>
      <c r="FHL2" s="15"/>
      <c r="FHM2" s="15"/>
      <c r="FHN2" s="15"/>
      <c r="FHO2" s="15"/>
      <c r="FHP2" s="15"/>
      <c r="FHQ2" s="15"/>
      <c r="FHR2" s="15"/>
      <c r="FHS2" s="15"/>
      <c r="FHT2" s="15"/>
      <c r="FHU2" s="15"/>
      <c r="FHV2" s="15"/>
      <c r="FHW2" s="15"/>
      <c r="FHX2" s="15"/>
      <c r="FHY2" s="15"/>
      <c r="FHZ2" s="15"/>
      <c r="FIA2" s="15"/>
      <c r="FIB2" s="15"/>
      <c r="FIC2" s="15"/>
      <c r="FID2" s="15"/>
      <c r="FIE2" s="15"/>
      <c r="FIF2" s="15"/>
      <c r="FIG2" s="15"/>
      <c r="FIH2" s="15"/>
      <c r="FII2" s="15"/>
      <c r="FIJ2" s="15"/>
      <c r="FIK2" s="15"/>
      <c r="FIL2" s="15"/>
      <c r="FIM2" s="15"/>
      <c r="FIN2" s="15"/>
      <c r="FIO2" s="15"/>
      <c r="FIP2" s="15"/>
      <c r="FIQ2" s="15"/>
      <c r="FIR2" s="15"/>
      <c r="FIS2" s="15"/>
      <c r="FIT2" s="15"/>
      <c r="FIU2" s="15"/>
      <c r="FIV2" s="15"/>
      <c r="FIW2" s="15"/>
      <c r="FIX2" s="15"/>
      <c r="FIY2" s="15"/>
      <c r="FIZ2" s="15"/>
      <c r="FJA2" s="15"/>
      <c r="FJB2" s="15"/>
      <c r="FJC2" s="15"/>
      <c r="FJD2" s="15"/>
      <c r="FJE2" s="15"/>
      <c r="FJF2" s="15"/>
      <c r="FJG2" s="15"/>
      <c r="FJH2" s="15"/>
      <c r="FJI2" s="15"/>
      <c r="FJJ2" s="15"/>
      <c r="FJK2" s="15"/>
      <c r="FJL2" s="15"/>
      <c r="FJM2" s="15"/>
      <c r="FJN2" s="15"/>
      <c r="FJO2" s="15"/>
      <c r="FJP2" s="15"/>
      <c r="FJQ2" s="15"/>
      <c r="FJR2" s="15"/>
      <c r="FJS2" s="15"/>
      <c r="FJT2" s="15"/>
      <c r="FJU2" s="15"/>
      <c r="FJV2" s="15"/>
      <c r="FJW2" s="15"/>
      <c r="FJX2" s="15"/>
      <c r="FJY2" s="15"/>
      <c r="FJZ2" s="15"/>
      <c r="FKA2" s="15"/>
      <c r="FKB2" s="15"/>
      <c r="FKC2" s="15"/>
      <c r="FKD2" s="15"/>
      <c r="FKE2" s="15"/>
      <c r="FKF2" s="15"/>
      <c r="FKG2" s="15"/>
      <c r="FKH2" s="15"/>
      <c r="FKI2" s="15"/>
      <c r="FKJ2" s="15"/>
      <c r="FKK2" s="15"/>
      <c r="FKL2" s="15"/>
      <c r="FKM2" s="15"/>
      <c r="FKN2" s="15"/>
      <c r="FKO2" s="15"/>
      <c r="FKP2" s="15"/>
      <c r="FKQ2" s="15"/>
      <c r="FKR2" s="15"/>
      <c r="FKS2" s="15"/>
      <c r="FKT2" s="15"/>
      <c r="FKU2" s="15"/>
      <c r="FKV2" s="15"/>
      <c r="FKW2" s="15"/>
      <c r="FKX2" s="15"/>
      <c r="FKY2" s="15"/>
      <c r="FKZ2" s="15"/>
      <c r="FLA2" s="15"/>
      <c r="FLB2" s="15"/>
      <c r="FLC2" s="15"/>
      <c r="FLD2" s="15"/>
      <c r="FLE2" s="15"/>
      <c r="FLF2" s="15"/>
      <c r="FLG2" s="15"/>
      <c r="FLH2" s="15"/>
      <c r="FLI2" s="15"/>
      <c r="FLJ2" s="15"/>
      <c r="FLK2" s="15"/>
      <c r="FLL2" s="15"/>
      <c r="FLM2" s="15"/>
      <c r="FLN2" s="15"/>
      <c r="FLO2" s="15"/>
      <c r="FLP2" s="15"/>
      <c r="FLQ2" s="15"/>
      <c r="FLR2" s="15"/>
      <c r="FLS2" s="15"/>
      <c r="FLT2" s="15"/>
      <c r="FLU2" s="15"/>
      <c r="FLV2" s="15"/>
      <c r="FLW2" s="15"/>
      <c r="FLX2" s="15"/>
      <c r="FLY2" s="15"/>
      <c r="FLZ2" s="15"/>
      <c r="FMA2" s="15"/>
      <c r="FMB2" s="15"/>
      <c r="FMC2" s="15"/>
      <c r="FMD2" s="15"/>
      <c r="FME2" s="15"/>
      <c r="FMF2" s="15"/>
      <c r="FMG2" s="15"/>
      <c r="FMH2" s="15"/>
      <c r="FMI2" s="15"/>
      <c r="FMJ2" s="15"/>
      <c r="FMK2" s="15"/>
      <c r="FML2" s="15"/>
      <c r="FMM2" s="15"/>
      <c r="FMN2" s="15"/>
      <c r="FMO2" s="15"/>
      <c r="FMP2" s="15"/>
      <c r="FMQ2" s="15"/>
      <c r="FMR2" s="15"/>
      <c r="FMS2" s="15"/>
      <c r="FMT2" s="15"/>
      <c r="FMU2" s="15"/>
      <c r="FMV2" s="15"/>
      <c r="FMW2" s="15"/>
      <c r="FMX2" s="15"/>
      <c r="FMY2" s="15"/>
      <c r="FMZ2" s="15"/>
      <c r="FNA2" s="15"/>
      <c r="FNB2" s="15"/>
      <c r="FNC2" s="15"/>
      <c r="FND2" s="15"/>
      <c r="FNE2" s="15"/>
      <c r="FNF2" s="15"/>
      <c r="FNG2" s="15"/>
      <c r="FNH2" s="15"/>
      <c r="FNI2" s="15"/>
      <c r="FNJ2" s="15"/>
      <c r="FNK2" s="15"/>
      <c r="FNL2" s="15"/>
      <c r="FNM2" s="15"/>
      <c r="FNN2" s="15"/>
      <c r="FNO2" s="15"/>
      <c r="FNP2" s="15"/>
      <c r="FNQ2" s="15"/>
      <c r="FNR2" s="15"/>
      <c r="FNS2" s="15"/>
      <c r="FNT2" s="15"/>
      <c r="FNU2" s="15"/>
      <c r="FNV2" s="15"/>
      <c r="FNW2" s="15"/>
      <c r="FNX2" s="15"/>
      <c r="FNY2" s="15"/>
      <c r="FNZ2" s="15"/>
      <c r="FOA2" s="15"/>
      <c r="FOB2" s="15"/>
      <c r="FOC2" s="15"/>
      <c r="FOD2" s="15"/>
      <c r="FOE2" s="15"/>
      <c r="FOF2" s="15"/>
      <c r="FOG2" s="15"/>
      <c r="FOH2" s="15"/>
      <c r="FOI2" s="15"/>
      <c r="FOJ2" s="15"/>
      <c r="FOK2" s="15"/>
      <c r="FOL2" s="15"/>
      <c r="FOM2" s="15"/>
      <c r="FON2" s="15"/>
      <c r="FOO2" s="15"/>
      <c r="FOP2" s="15"/>
      <c r="FOQ2" s="15"/>
      <c r="FOR2" s="15"/>
      <c r="FOS2" s="15"/>
      <c r="FOT2" s="15"/>
      <c r="FOU2" s="15"/>
      <c r="FOV2" s="15"/>
      <c r="FOW2" s="15"/>
      <c r="FOX2" s="15"/>
      <c r="FOY2" s="15"/>
      <c r="FOZ2" s="15"/>
      <c r="FPA2" s="15"/>
      <c r="FPB2" s="15"/>
      <c r="FPC2" s="15"/>
      <c r="FPD2" s="15"/>
      <c r="FPE2" s="15"/>
      <c r="FPF2" s="15"/>
      <c r="FPG2" s="15"/>
      <c r="FPH2" s="15"/>
      <c r="FPI2" s="15"/>
      <c r="FPJ2" s="15"/>
      <c r="FPK2" s="15"/>
      <c r="FPL2" s="15"/>
      <c r="FPM2" s="15"/>
      <c r="FPN2" s="15"/>
      <c r="FPO2" s="15"/>
      <c r="FPP2" s="15"/>
      <c r="FPQ2" s="15"/>
      <c r="FPR2" s="15"/>
      <c r="FPS2" s="15"/>
      <c r="FPT2" s="15"/>
      <c r="FPU2" s="15"/>
      <c r="FPV2" s="15"/>
      <c r="FPW2" s="15"/>
      <c r="FPX2" s="15"/>
      <c r="FPY2" s="15"/>
      <c r="FPZ2" s="15"/>
      <c r="FQA2" s="15"/>
      <c r="FQB2" s="15"/>
      <c r="FQC2" s="15"/>
      <c r="FQD2" s="15"/>
      <c r="FQE2" s="15"/>
      <c r="FQF2" s="15"/>
      <c r="FQG2" s="15"/>
      <c r="FQH2" s="15"/>
      <c r="FQI2" s="15"/>
      <c r="FQJ2" s="15"/>
      <c r="FQK2" s="15"/>
      <c r="FQL2" s="15"/>
      <c r="FQM2" s="15"/>
      <c r="FQN2" s="15"/>
      <c r="FQO2" s="15"/>
      <c r="FQP2" s="15"/>
      <c r="FQQ2" s="15"/>
      <c r="FQR2" s="15"/>
      <c r="FQS2" s="15"/>
      <c r="FQT2" s="15"/>
      <c r="FQU2" s="15"/>
      <c r="FQV2" s="15"/>
      <c r="FQW2" s="15"/>
      <c r="FQX2" s="15"/>
      <c r="FQY2" s="15"/>
      <c r="FQZ2" s="15"/>
      <c r="FRA2" s="15"/>
      <c r="FRB2" s="15"/>
      <c r="FRC2" s="15"/>
      <c r="FRD2" s="15"/>
      <c r="FRE2" s="15"/>
      <c r="FRF2" s="15"/>
      <c r="FRG2" s="15"/>
      <c r="FRH2" s="15"/>
      <c r="FRI2" s="15"/>
      <c r="FRJ2" s="15"/>
      <c r="FRK2" s="15"/>
      <c r="FRL2" s="15"/>
      <c r="FRM2" s="15"/>
      <c r="FRN2" s="15"/>
      <c r="FRO2" s="15"/>
      <c r="FRP2" s="15"/>
      <c r="FRQ2" s="15"/>
      <c r="FRR2" s="15"/>
      <c r="FRS2" s="15"/>
      <c r="FRT2" s="15"/>
      <c r="FRU2" s="15"/>
      <c r="FRV2" s="15"/>
      <c r="FRW2" s="15"/>
      <c r="FRX2" s="15"/>
      <c r="FRY2" s="15"/>
      <c r="FRZ2" s="15"/>
      <c r="FSA2" s="15"/>
      <c r="FSB2" s="15"/>
      <c r="FSC2" s="15"/>
      <c r="FSD2" s="15"/>
      <c r="FSE2" s="15"/>
      <c r="FSF2" s="15"/>
      <c r="FSG2" s="15"/>
      <c r="FSH2" s="15"/>
      <c r="FSI2" s="15"/>
      <c r="FSJ2" s="15"/>
      <c r="FSK2" s="15"/>
      <c r="FSL2" s="15"/>
      <c r="FSM2" s="15"/>
      <c r="FSN2" s="15"/>
      <c r="FSO2" s="15"/>
      <c r="FSP2" s="15"/>
      <c r="FSQ2" s="15"/>
      <c r="FSR2" s="15"/>
      <c r="FSS2" s="15"/>
      <c r="FST2" s="15"/>
      <c r="FSU2" s="15"/>
      <c r="FSV2" s="15"/>
      <c r="FSW2" s="15"/>
      <c r="FSX2" s="15"/>
      <c r="FSY2" s="15"/>
      <c r="FSZ2" s="15"/>
      <c r="FTA2" s="15"/>
      <c r="FTB2" s="15"/>
      <c r="FTC2" s="15"/>
      <c r="FTD2" s="15"/>
      <c r="FTE2" s="15"/>
      <c r="FTF2" s="15"/>
      <c r="FTG2" s="15"/>
      <c r="FTH2" s="15"/>
      <c r="FTI2" s="15"/>
      <c r="FTJ2" s="15"/>
      <c r="FTK2" s="15"/>
      <c r="FTL2" s="15"/>
      <c r="FTM2" s="15"/>
      <c r="FTN2" s="15"/>
      <c r="FTO2" s="15"/>
      <c r="FTP2" s="15"/>
      <c r="FTQ2" s="15"/>
      <c r="FTR2" s="15"/>
      <c r="FTS2" s="15"/>
      <c r="FTT2" s="15"/>
      <c r="FTU2" s="15"/>
      <c r="FTV2" s="15"/>
      <c r="FTW2" s="15"/>
      <c r="FTX2" s="15"/>
      <c r="FTY2" s="15"/>
      <c r="FTZ2" s="15"/>
      <c r="FUA2" s="15"/>
      <c r="FUB2" s="15"/>
      <c r="FUC2" s="15"/>
      <c r="FUD2" s="15"/>
      <c r="FUE2" s="15"/>
      <c r="FUF2" s="15"/>
      <c r="FUG2" s="15"/>
      <c r="FUH2" s="15"/>
      <c r="FUI2" s="15"/>
      <c r="FUJ2" s="15"/>
      <c r="FUK2" s="15"/>
      <c r="FUL2" s="15"/>
      <c r="FUM2" s="15"/>
      <c r="FUN2" s="15"/>
      <c r="FUO2" s="15"/>
      <c r="FUP2" s="15"/>
      <c r="FUQ2" s="15"/>
      <c r="FUR2" s="15"/>
      <c r="FUS2" s="15"/>
      <c r="FUT2" s="15"/>
      <c r="FUU2" s="15"/>
      <c r="FUV2" s="15"/>
      <c r="FUW2" s="15"/>
      <c r="FUX2" s="15"/>
      <c r="FUY2" s="15"/>
      <c r="FUZ2" s="15"/>
      <c r="FVA2" s="15"/>
      <c r="FVB2" s="15"/>
      <c r="FVC2" s="15"/>
      <c r="FVD2" s="15"/>
      <c r="FVE2" s="15"/>
      <c r="FVF2" s="15"/>
      <c r="FVG2" s="15"/>
      <c r="FVH2" s="15"/>
      <c r="FVI2" s="15"/>
      <c r="FVJ2" s="15"/>
      <c r="FVK2" s="15"/>
      <c r="FVL2" s="15"/>
      <c r="FVM2" s="15"/>
      <c r="FVN2" s="15"/>
      <c r="FVO2" s="15"/>
      <c r="FVP2" s="15"/>
      <c r="FVQ2" s="15"/>
      <c r="FVR2" s="15"/>
      <c r="FVS2" s="15"/>
      <c r="FVT2" s="15"/>
      <c r="FVU2" s="15"/>
      <c r="FVV2" s="15"/>
      <c r="FVW2" s="15"/>
      <c r="FVX2" s="15"/>
      <c r="FVY2" s="15"/>
      <c r="FVZ2" s="15"/>
      <c r="FWA2" s="15"/>
      <c r="FWB2" s="15"/>
      <c r="FWC2" s="15"/>
      <c r="FWD2" s="15"/>
      <c r="FWE2" s="15"/>
      <c r="FWF2" s="15"/>
      <c r="FWG2" s="15"/>
      <c r="FWH2" s="15"/>
      <c r="FWI2" s="15"/>
      <c r="FWJ2" s="15"/>
      <c r="FWK2" s="15"/>
      <c r="FWL2" s="15"/>
      <c r="FWM2" s="15"/>
      <c r="FWN2" s="15"/>
      <c r="FWO2" s="15"/>
      <c r="FWP2" s="15"/>
      <c r="FWQ2" s="15"/>
      <c r="FWR2" s="15"/>
      <c r="FWS2" s="15"/>
      <c r="FWT2" s="15"/>
      <c r="FWU2" s="15"/>
      <c r="FWV2" s="15"/>
      <c r="FWW2" s="15"/>
      <c r="FWX2" s="15"/>
      <c r="FWY2" s="15"/>
      <c r="FWZ2" s="15"/>
      <c r="FXA2" s="15"/>
      <c r="FXB2" s="15"/>
      <c r="FXC2" s="15"/>
      <c r="FXD2" s="15"/>
      <c r="FXE2" s="15"/>
      <c r="FXF2" s="15"/>
      <c r="FXG2" s="15"/>
      <c r="FXH2" s="15"/>
      <c r="FXI2" s="15"/>
      <c r="FXJ2" s="15"/>
      <c r="FXK2" s="15"/>
      <c r="FXL2" s="15"/>
      <c r="FXM2" s="15"/>
      <c r="FXN2" s="15"/>
      <c r="FXO2" s="15"/>
      <c r="FXP2" s="15"/>
      <c r="FXQ2" s="15"/>
      <c r="FXR2" s="15"/>
      <c r="FXS2" s="15"/>
      <c r="FXT2" s="15"/>
      <c r="FXU2" s="15"/>
      <c r="FXV2" s="15"/>
      <c r="FXW2" s="15"/>
      <c r="FXX2" s="15"/>
      <c r="FXY2" s="15"/>
      <c r="FXZ2" s="15"/>
      <c r="FYA2" s="15"/>
      <c r="FYB2" s="15"/>
      <c r="FYC2" s="15"/>
      <c r="FYD2" s="15"/>
      <c r="FYE2" s="15"/>
      <c r="FYF2" s="15"/>
      <c r="FYG2" s="15"/>
      <c r="FYH2" s="15"/>
      <c r="FYI2" s="15"/>
      <c r="FYJ2" s="15"/>
      <c r="FYK2" s="15"/>
      <c r="FYL2" s="15"/>
      <c r="FYM2" s="15"/>
      <c r="FYN2" s="15"/>
      <c r="FYO2" s="15"/>
      <c r="FYP2" s="15"/>
      <c r="FYQ2" s="15"/>
      <c r="FYR2" s="15"/>
      <c r="FYS2" s="15"/>
      <c r="FYT2" s="15"/>
      <c r="FYU2" s="15"/>
      <c r="FYV2" s="15"/>
      <c r="FYW2" s="15"/>
      <c r="FYX2" s="15"/>
      <c r="FYY2" s="15"/>
      <c r="FYZ2" s="15"/>
      <c r="FZA2" s="15"/>
      <c r="FZB2" s="15"/>
      <c r="FZC2" s="15"/>
      <c r="FZD2" s="15"/>
      <c r="FZE2" s="15"/>
      <c r="FZF2" s="15"/>
      <c r="FZG2" s="15"/>
      <c r="FZH2" s="15"/>
      <c r="FZI2" s="15"/>
      <c r="FZJ2" s="15"/>
      <c r="FZK2" s="15"/>
      <c r="FZL2" s="15"/>
      <c r="FZM2" s="15"/>
      <c r="FZN2" s="15"/>
      <c r="FZO2" s="15"/>
      <c r="FZP2" s="15"/>
      <c r="FZQ2" s="15"/>
      <c r="FZR2" s="15"/>
      <c r="FZS2" s="15"/>
      <c r="FZT2" s="15"/>
      <c r="FZU2" s="15"/>
      <c r="FZV2" s="15"/>
      <c r="FZW2" s="15"/>
      <c r="FZX2" s="15"/>
      <c r="FZY2" s="15"/>
      <c r="FZZ2" s="15"/>
      <c r="GAA2" s="15"/>
      <c r="GAB2" s="15"/>
      <c r="GAC2" s="15"/>
      <c r="GAD2" s="15"/>
      <c r="GAE2" s="15"/>
      <c r="GAF2" s="15"/>
      <c r="GAG2" s="15"/>
      <c r="GAH2" s="15"/>
      <c r="GAI2" s="15"/>
      <c r="GAJ2" s="15"/>
      <c r="GAK2" s="15"/>
      <c r="GAL2" s="15"/>
      <c r="GAM2" s="15"/>
      <c r="GAN2" s="15"/>
      <c r="GAO2" s="15"/>
      <c r="GAP2" s="15"/>
      <c r="GAQ2" s="15"/>
      <c r="GAR2" s="15"/>
      <c r="GAS2" s="15"/>
      <c r="GAT2" s="15"/>
      <c r="GAU2" s="15"/>
      <c r="GAV2" s="15"/>
      <c r="GAW2" s="15"/>
      <c r="GAX2" s="15"/>
      <c r="GAY2" s="15"/>
      <c r="GAZ2" s="15"/>
      <c r="GBA2" s="15"/>
      <c r="GBB2" s="15"/>
      <c r="GBC2" s="15"/>
      <c r="GBD2" s="15"/>
      <c r="GBE2" s="15"/>
      <c r="GBF2" s="15"/>
      <c r="GBG2" s="15"/>
      <c r="GBH2" s="15"/>
      <c r="GBI2" s="15"/>
      <c r="GBJ2" s="15"/>
      <c r="GBK2" s="15"/>
      <c r="GBL2" s="15"/>
      <c r="GBM2" s="15"/>
      <c r="GBN2" s="15"/>
      <c r="GBO2" s="15"/>
      <c r="GBP2" s="15"/>
      <c r="GBQ2" s="15"/>
      <c r="GBR2" s="15"/>
      <c r="GBS2" s="15"/>
      <c r="GBT2" s="15"/>
      <c r="GBU2" s="15"/>
      <c r="GBV2" s="15"/>
      <c r="GBW2" s="15"/>
      <c r="GBX2" s="15"/>
      <c r="GBY2" s="15"/>
      <c r="GBZ2" s="15"/>
      <c r="GCA2" s="15"/>
      <c r="GCB2" s="15"/>
      <c r="GCC2" s="15"/>
      <c r="GCD2" s="15"/>
      <c r="GCE2" s="15"/>
      <c r="GCF2" s="15"/>
      <c r="GCG2" s="15"/>
      <c r="GCH2" s="15"/>
      <c r="GCI2" s="15"/>
      <c r="GCJ2" s="15"/>
      <c r="GCK2" s="15"/>
      <c r="GCL2" s="15"/>
      <c r="GCM2" s="15"/>
      <c r="GCN2" s="15"/>
      <c r="GCO2" s="15"/>
      <c r="GCP2" s="15"/>
      <c r="GCQ2" s="15"/>
      <c r="GCR2" s="15"/>
      <c r="GCS2" s="15"/>
      <c r="GCT2" s="15"/>
      <c r="GCU2" s="15"/>
      <c r="GCV2" s="15"/>
      <c r="GCW2" s="15"/>
      <c r="GCX2" s="15"/>
      <c r="GCY2" s="15"/>
      <c r="GCZ2" s="15"/>
      <c r="GDA2" s="15"/>
      <c r="GDB2" s="15"/>
      <c r="GDC2" s="15"/>
      <c r="GDD2" s="15"/>
      <c r="GDE2" s="15"/>
      <c r="GDF2" s="15"/>
      <c r="GDG2" s="15"/>
      <c r="GDH2" s="15"/>
      <c r="GDI2" s="15"/>
      <c r="GDJ2" s="15"/>
      <c r="GDK2" s="15"/>
      <c r="GDL2" s="15"/>
      <c r="GDM2" s="15"/>
      <c r="GDN2" s="15"/>
      <c r="GDO2" s="15"/>
      <c r="GDP2" s="15"/>
      <c r="GDQ2" s="15"/>
      <c r="GDR2" s="15"/>
      <c r="GDS2" s="15"/>
      <c r="GDT2" s="15"/>
      <c r="GDU2" s="15"/>
      <c r="GDV2" s="15"/>
      <c r="GDW2" s="15"/>
      <c r="GDX2" s="15"/>
      <c r="GDY2" s="15"/>
      <c r="GDZ2" s="15"/>
      <c r="GEA2" s="15"/>
      <c r="GEB2" s="15"/>
      <c r="GEC2" s="15"/>
      <c r="GED2" s="15"/>
      <c r="GEE2" s="15"/>
      <c r="GEF2" s="15"/>
      <c r="GEG2" s="15"/>
      <c r="GEH2" s="15"/>
      <c r="GEI2" s="15"/>
      <c r="GEJ2" s="15"/>
      <c r="GEK2" s="15"/>
      <c r="GEL2" s="15"/>
      <c r="GEM2" s="15"/>
      <c r="GEN2" s="15"/>
      <c r="GEO2" s="15"/>
      <c r="GEP2" s="15"/>
      <c r="GEQ2" s="15"/>
      <c r="GER2" s="15"/>
      <c r="GES2" s="15"/>
      <c r="GET2" s="15"/>
      <c r="GEU2" s="15"/>
      <c r="GEV2" s="15"/>
      <c r="GEW2" s="15"/>
      <c r="GEX2" s="15"/>
      <c r="GEY2" s="15"/>
      <c r="GEZ2" s="15"/>
      <c r="GFA2" s="15"/>
      <c r="GFB2" s="15"/>
      <c r="GFC2" s="15"/>
      <c r="GFD2" s="15"/>
      <c r="GFE2" s="15"/>
      <c r="GFF2" s="15"/>
      <c r="GFG2" s="15"/>
      <c r="GFH2" s="15"/>
      <c r="GFI2" s="15"/>
      <c r="GFJ2" s="15"/>
      <c r="GFK2" s="15"/>
      <c r="GFL2" s="15"/>
      <c r="GFM2" s="15"/>
      <c r="GFN2" s="15"/>
      <c r="GFO2" s="15"/>
      <c r="GFP2" s="15"/>
      <c r="GFQ2" s="15"/>
      <c r="GFR2" s="15"/>
      <c r="GFS2" s="15"/>
      <c r="GFT2" s="15"/>
      <c r="GFU2" s="15"/>
      <c r="GFV2" s="15"/>
      <c r="GFW2" s="15"/>
      <c r="GFX2" s="15"/>
      <c r="GFY2" s="15"/>
      <c r="GFZ2" s="15"/>
      <c r="GGA2" s="15"/>
      <c r="GGB2" s="15"/>
      <c r="GGC2" s="15"/>
      <c r="GGD2" s="15"/>
      <c r="GGE2" s="15"/>
      <c r="GGF2" s="15"/>
      <c r="GGG2" s="15"/>
      <c r="GGH2" s="15"/>
      <c r="GGI2" s="15"/>
      <c r="GGJ2" s="15"/>
      <c r="GGK2" s="15"/>
      <c r="GGL2" s="15"/>
      <c r="GGM2" s="15"/>
      <c r="GGN2" s="15"/>
      <c r="GGO2" s="15"/>
      <c r="GGP2" s="15"/>
      <c r="GGQ2" s="15"/>
      <c r="GGR2" s="15"/>
      <c r="GGS2" s="15"/>
      <c r="GGT2" s="15"/>
      <c r="GGU2" s="15"/>
      <c r="GGV2" s="15"/>
      <c r="GGW2" s="15"/>
      <c r="GGX2" s="15"/>
      <c r="GGY2" s="15"/>
      <c r="GGZ2" s="15"/>
      <c r="GHA2" s="15"/>
      <c r="GHB2" s="15"/>
      <c r="GHC2" s="15"/>
      <c r="GHD2" s="15"/>
      <c r="GHE2" s="15"/>
      <c r="GHF2" s="15"/>
      <c r="GHG2" s="15"/>
      <c r="GHH2" s="15"/>
      <c r="GHI2" s="15"/>
      <c r="GHJ2" s="15"/>
      <c r="GHK2" s="15"/>
      <c r="GHL2" s="15"/>
      <c r="GHM2" s="15"/>
      <c r="GHN2" s="15"/>
      <c r="GHO2" s="15"/>
      <c r="GHP2" s="15"/>
      <c r="GHQ2" s="15"/>
      <c r="GHR2" s="15"/>
      <c r="GHS2" s="15"/>
      <c r="GHT2" s="15"/>
      <c r="GHU2" s="15"/>
      <c r="GHV2" s="15"/>
      <c r="GHW2" s="15"/>
      <c r="GHX2" s="15"/>
      <c r="GHY2" s="15"/>
      <c r="GHZ2" s="15"/>
      <c r="GIA2" s="15"/>
      <c r="GIB2" s="15"/>
      <c r="GIC2" s="15"/>
      <c r="GID2" s="15"/>
      <c r="GIE2" s="15"/>
      <c r="GIF2" s="15"/>
      <c r="GIG2" s="15"/>
      <c r="GIH2" s="15"/>
      <c r="GII2" s="15"/>
      <c r="GIJ2" s="15"/>
      <c r="GIK2" s="15"/>
      <c r="GIL2" s="15"/>
      <c r="GIM2" s="15"/>
      <c r="GIN2" s="15"/>
      <c r="GIO2" s="15"/>
      <c r="GIP2" s="15"/>
      <c r="GIQ2" s="15"/>
      <c r="GIR2" s="15"/>
      <c r="GIS2" s="15"/>
      <c r="GIT2" s="15"/>
      <c r="GIU2" s="15"/>
      <c r="GIV2" s="15"/>
      <c r="GIW2" s="15"/>
      <c r="GIX2" s="15"/>
      <c r="GIY2" s="15"/>
      <c r="GIZ2" s="15"/>
      <c r="GJA2" s="15"/>
      <c r="GJB2" s="15"/>
      <c r="GJC2" s="15"/>
      <c r="GJD2" s="15"/>
      <c r="GJE2" s="15"/>
      <c r="GJF2" s="15"/>
      <c r="GJG2" s="15"/>
      <c r="GJH2" s="15"/>
      <c r="GJI2" s="15"/>
      <c r="GJJ2" s="15"/>
      <c r="GJK2" s="15"/>
      <c r="GJL2" s="15"/>
      <c r="GJM2" s="15"/>
      <c r="GJN2" s="15"/>
      <c r="GJO2" s="15"/>
      <c r="GJP2" s="15"/>
      <c r="GJQ2" s="15"/>
      <c r="GJR2" s="15"/>
      <c r="GJS2" s="15"/>
      <c r="GJT2" s="15"/>
      <c r="GJU2" s="15"/>
      <c r="GJV2" s="15"/>
      <c r="GJW2" s="15"/>
      <c r="GJX2" s="15"/>
      <c r="GJY2" s="15"/>
      <c r="GJZ2" s="15"/>
      <c r="GKA2" s="15"/>
      <c r="GKB2" s="15"/>
      <c r="GKC2" s="15"/>
      <c r="GKD2" s="15"/>
      <c r="GKE2" s="15"/>
      <c r="GKF2" s="15"/>
      <c r="GKG2" s="15"/>
      <c r="GKH2" s="15"/>
      <c r="GKI2" s="15"/>
      <c r="GKJ2" s="15"/>
      <c r="GKK2" s="15"/>
      <c r="GKL2" s="15"/>
      <c r="GKM2" s="15"/>
      <c r="GKN2" s="15"/>
      <c r="GKO2" s="15"/>
      <c r="GKP2" s="15"/>
      <c r="GKQ2" s="15"/>
      <c r="GKR2" s="15"/>
      <c r="GKS2" s="15"/>
      <c r="GKT2" s="15"/>
      <c r="GKU2" s="15"/>
      <c r="GKV2" s="15"/>
      <c r="GKW2" s="15"/>
      <c r="GKX2" s="15"/>
      <c r="GKY2" s="15"/>
      <c r="GKZ2" s="15"/>
      <c r="GLA2" s="15"/>
      <c r="GLB2" s="15"/>
      <c r="GLC2" s="15"/>
      <c r="GLD2" s="15"/>
      <c r="GLE2" s="15"/>
      <c r="GLF2" s="15"/>
      <c r="GLG2" s="15"/>
      <c r="GLH2" s="15"/>
      <c r="GLI2" s="15"/>
      <c r="GLJ2" s="15"/>
      <c r="GLK2" s="15"/>
      <c r="GLL2" s="15"/>
      <c r="GLM2" s="15"/>
      <c r="GLN2" s="15"/>
      <c r="GLO2" s="15"/>
      <c r="GLP2" s="15"/>
      <c r="GLQ2" s="15"/>
      <c r="GLR2" s="15"/>
      <c r="GLS2" s="15"/>
      <c r="GLT2" s="15"/>
      <c r="GLU2" s="15"/>
      <c r="GLV2" s="15"/>
      <c r="GLW2" s="15"/>
      <c r="GLX2" s="15"/>
      <c r="GLY2" s="15"/>
      <c r="GLZ2" s="15"/>
      <c r="GMA2" s="15"/>
      <c r="GMB2" s="15"/>
      <c r="GMC2" s="15"/>
      <c r="GMD2" s="15"/>
      <c r="GME2" s="15"/>
      <c r="GMF2" s="15"/>
      <c r="GMG2" s="15"/>
      <c r="GMH2" s="15"/>
      <c r="GMI2" s="15"/>
      <c r="GMJ2" s="15"/>
      <c r="GMK2" s="15"/>
      <c r="GML2" s="15"/>
      <c r="GMM2" s="15"/>
      <c r="GMN2" s="15"/>
      <c r="GMO2" s="15"/>
      <c r="GMP2" s="15"/>
      <c r="GMQ2" s="15"/>
      <c r="GMR2" s="15"/>
      <c r="GMS2" s="15"/>
      <c r="GMT2" s="15"/>
      <c r="GMU2" s="15"/>
      <c r="GMV2" s="15"/>
      <c r="GMW2" s="15"/>
      <c r="GMX2" s="15"/>
      <c r="GMY2" s="15"/>
      <c r="GMZ2" s="15"/>
      <c r="GNA2" s="15"/>
      <c r="GNB2" s="15"/>
      <c r="GNC2" s="15"/>
      <c r="GND2" s="15"/>
      <c r="GNE2" s="15"/>
      <c r="GNF2" s="15"/>
      <c r="GNG2" s="15"/>
      <c r="GNH2" s="15"/>
      <c r="GNI2" s="15"/>
      <c r="GNJ2" s="15"/>
      <c r="GNK2" s="15"/>
      <c r="GNL2" s="15"/>
      <c r="GNM2" s="15"/>
      <c r="GNN2" s="15"/>
      <c r="GNO2" s="15"/>
      <c r="GNP2" s="15"/>
      <c r="GNQ2" s="15"/>
      <c r="GNR2" s="15"/>
      <c r="GNS2" s="15"/>
      <c r="GNT2" s="15"/>
      <c r="GNU2" s="15"/>
      <c r="GNV2" s="15"/>
      <c r="GNW2" s="15"/>
      <c r="GNX2" s="15"/>
      <c r="GNY2" s="15"/>
      <c r="GNZ2" s="15"/>
      <c r="GOA2" s="15"/>
      <c r="GOB2" s="15"/>
      <c r="GOC2" s="15"/>
      <c r="GOD2" s="15"/>
      <c r="GOE2" s="15"/>
      <c r="GOF2" s="15"/>
      <c r="GOG2" s="15"/>
      <c r="GOH2" s="15"/>
      <c r="GOI2" s="15"/>
      <c r="GOJ2" s="15"/>
      <c r="GOK2" s="15"/>
      <c r="GOL2" s="15"/>
      <c r="GOM2" s="15"/>
      <c r="GON2" s="15"/>
      <c r="GOO2" s="15"/>
      <c r="GOP2" s="15"/>
      <c r="GOQ2" s="15"/>
      <c r="GOR2" s="15"/>
      <c r="GOS2" s="15"/>
      <c r="GOT2" s="15"/>
      <c r="GOU2" s="15"/>
      <c r="GOV2" s="15"/>
      <c r="GOW2" s="15"/>
      <c r="GOX2" s="15"/>
      <c r="GOY2" s="15"/>
      <c r="GOZ2" s="15"/>
      <c r="GPA2" s="15"/>
      <c r="GPB2" s="15"/>
      <c r="GPC2" s="15"/>
      <c r="GPD2" s="15"/>
      <c r="GPE2" s="15"/>
      <c r="GPF2" s="15"/>
      <c r="GPG2" s="15"/>
      <c r="GPH2" s="15"/>
      <c r="GPI2" s="15"/>
      <c r="GPJ2" s="15"/>
      <c r="GPK2" s="15"/>
      <c r="GPL2" s="15"/>
      <c r="GPM2" s="15"/>
      <c r="GPN2" s="15"/>
      <c r="GPO2" s="15"/>
      <c r="GPP2" s="15"/>
      <c r="GPQ2" s="15"/>
      <c r="GPR2" s="15"/>
      <c r="GPS2" s="15"/>
      <c r="GPT2" s="15"/>
      <c r="GPU2" s="15"/>
      <c r="GPV2" s="15"/>
      <c r="GPW2" s="15"/>
      <c r="GPX2" s="15"/>
      <c r="GPY2" s="15"/>
      <c r="GPZ2" s="15"/>
      <c r="GQA2" s="15"/>
      <c r="GQB2" s="15"/>
      <c r="GQC2" s="15"/>
      <c r="GQD2" s="15"/>
      <c r="GQE2" s="15"/>
      <c r="GQF2" s="15"/>
      <c r="GQG2" s="15"/>
      <c r="GQH2" s="15"/>
      <c r="GQI2" s="15"/>
      <c r="GQJ2" s="15"/>
      <c r="GQK2" s="15"/>
      <c r="GQL2" s="15"/>
      <c r="GQM2" s="15"/>
      <c r="GQN2" s="15"/>
      <c r="GQO2" s="15"/>
      <c r="GQP2" s="15"/>
      <c r="GQQ2" s="15"/>
      <c r="GQR2" s="15"/>
      <c r="GQS2" s="15"/>
      <c r="GQT2" s="15"/>
      <c r="GQU2" s="15"/>
      <c r="GQV2" s="15"/>
      <c r="GQW2" s="15"/>
      <c r="GQX2" s="15"/>
      <c r="GQY2" s="15"/>
      <c r="GQZ2" s="15"/>
      <c r="GRA2" s="15"/>
      <c r="GRB2" s="15"/>
      <c r="GRC2" s="15"/>
      <c r="GRD2" s="15"/>
      <c r="GRE2" s="15"/>
      <c r="GRF2" s="15"/>
      <c r="GRG2" s="15"/>
      <c r="GRH2" s="15"/>
      <c r="GRI2" s="15"/>
      <c r="GRJ2" s="15"/>
      <c r="GRK2" s="15"/>
      <c r="GRL2" s="15"/>
      <c r="GRM2" s="15"/>
      <c r="GRN2" s="15"/>
      <c r="GRO2" s="15"/>
      <c r="GRP2" s="15"/>
      <c r="GRQ2" s="15"/>
      <c r="GRR2" s="15"/>
      <c r="GRS2" s="15"/>
      <c r="GRT2" s="15"/>
      <c r="GRU2" s="15"/>
      <c r="GRV2" s="15"/>
      <c r="GRW2" s="15"/>
      <c r="GRX2" s="15"/>
      <c r="GRY2" s="15"/>
      <c r="GRZ2" s="15"/>
      <c r="GSA2" s="15"/>
      <c r="GSB2" s="15"/>
      <c r="GSC2" s="15"/>
      <c r="GSD2" s="15"/>
      <c r="GSE2" s="15"/>
      <c r="GSF2" s="15"/>
      <c r="GSG2" s="15"/>
      <c r="GSH2" s="15"/>
      <c r="GSI2" s="15"/>
      <c r="GSJ2" s="15"/>
      <c r="GSK2" s="15"/>
      <c r="GSL2" s="15"/>
      <c r="GSM2" s="15"/>
      <c r="GSN2" s="15"/>
      <c r="GSO2" s="15"/>
      <c r="GSP2" s="15"/>
      <c r="GSQ2" s="15"/>
      <c r="GSR2" s="15"/>
      <c r="GSS2" s="15"/>
      <c r="GST2" s="15"/>
      <c r="GSU2" s="15"/>
      <c r="GSV2" s="15"/>
      <c r="GSW2" s="15"/>
      <c r="GSX2" s="15"/>
      <c r="GSY2" s="15"/>
      <c r="GSZ2" s="15"/>
      <c r="GTA2" s="15"/>
      <c r="GTB2" s="15"/>
      <c r="GTC2" s="15"/>
      <c r="GTD2" s="15"/>
      <c r="GTE2" s="15"/>
      <c r="GTF2" s="15"/>
      <c r="GTG2" s="15"/>
      <c r="GTH2" s="15"/>
      <c r="GTI2" s="15"/>
      <c r="GTJ2" s="15"/>
      <c r="GTK2" s="15"/>
      <c r="GTL2" s="15"/>
      <c r="GTM2" s="15"/>
      <c r="GTN2" s="15"/>
      <c r="GTO2" s="15"/>
      <c r="GTP2" s="15"/>
      <c r="GTQ2" s="15"/>
      <c r="GTR2" s="15"/>
      <c r="GTS2" s="15"/>
      <c r="GTT2" s="15"/>
      <c r="GTU2" s="15"/>
      <c r="GTV2" s="15"/>
      <c r="GTW2" s="15"/>
      <c r="GTX2" s="15"/>
      <c r="GTY2" s="15"/>
      <c r="GTZ2" s="15"/>
      <c r="GUA2" s="15"/>
      <c r="GUB2" s="15"/>
      <c r="GUC2" s="15"/>
      <c r="GUD2" s="15"/>
      <c r="GUE2" s="15"/>
      <c r="GUF2" s="15"/>
      <c r="GUG2" s="15"/>
      <c r="GUH2" s="15"/>
      <c r="GUI2" s="15"/>
      <c r="GUJ2" s="15"/>
      <c r="GUK2" s="15"/>
      <c r="GUL2" s="15"/>
      <c r="GUM2" s="15"/>
      <c r="GUN2" s="15"/>
      <c r="GUO2" s="15"/>
      <c r="GUP2" s="15"/>
      <c r="GUQ2" s="15"/>
      <c r="GUR2" s="15"/>
      <c r="GUS2" s="15"/>
      <c r="GUT2" s="15"/>
      <c r="GUU2" s="15"/>
      <c r="GUV2" s="15"/>
      <c r="GUW2" s="15"/>
      <c r="GUX2" s="15"/>
      <c r="GUY2" s="15"/>
      <c r="GUZ2" s="15"/>
      <c r="GVA2" s="15"/>
      <c r="GVB2" s="15"/>
      <c r="GVC2" s="15"/>
      <c r="GVD2" s="15"/>
      <c r="GVE2" s="15"/>
      <c r="GVF2" s="15"/>
      <c r="GVG2" s="15"/>
      <c r="GVH2" s="15"/>
      <c r="GVI2" s="15"/>
      <c r="GVJ2" s="15"/>
      <c r="GVK2" s="15"/>
      <c r="GVL2" s="15"/>
      <c r="GVM2" s="15"/>
      <c r="GVN2" s="15"/>
      <c r="GVO2" s="15"/>
      <c r="GVP2" s="15"/>
      <c r="GVQ2" s="15"/>
      <c r="GVR2" s="15"/>
      <c r="GVS2" s="15"/>
      <c r="GVT2" s="15"/>
      <c r="GVU2" s="15"/>
      <c r="GVV2" s="15"/>
      <c r="GVW2" s="15"/>
      <c r="GVX2" s="15"/>
      <c r="GVY2" s="15"/>
      <c r="GVZ2" s="15"/>
      <c r="GWA2" s="15"/>
      <c r="GWB2" s="15"/>
      <c r="GWC2" s="15"/>
      <c r="GWD2" s="15"/>
      <c r="GWE2" s="15"/>
      <c r="GWF2" s="15"/>
      <c r="GWG2" s="15"/>
      <c r="GWH2" s="15"/>
      <c r="GWI2" s="15"/>
      <c r="GWJ2" s="15"/>
      <c r="GWK2" s="15"/>
      <c r="GWL2" s="15"/>
      <c r="GWM2" s="15"/>
      <c r="GWN2" s="15"/>
      <c r="GWO2" s="15"/>
      <c r="GWP2" s="15"/>
      <c r="GWQ2" s="15"/>
      <c r="GWR2" s="15"/>
      <c r="GWS2" s="15"/>
      <c r="GWT2" s="15"/>
      <c r="GWU2" s="15"/>
      <c r="GWV2" s="15"/>
      <c r="GWW2" s="15"/>
      <c r="GWX2" s="15"/>
      <c r="GWY2" s="15"/>
      <c r="GWZ2" s="15"/>
      <c r="GXA2" s="15"/>
      <c r="GXB2" s="15"/>
      <c r="GXC2" s="15"/>
      <c r="GXD2" s="15"/>
      <c r="GXE2" s="15"/>
      <c r="GXF2" s="15"/>
      <c r="GXG2" s="15"/>
      <c r="GXH2" s="15"/>
      <c r="GXI2" s="15"/>
      <c r="GXJ2" s="15"/>
      <c r="GXK2" s="15"/>
      <c r="GXL2" s="15"/>
      <c r="GXM2" s="15"/>
      <c r="GXN2" s="15"/>
      <c r="GXO2" s="15"/>
      <c r="GXP2" s="15"/>
      <c r="GXQ2" s="15"/>
      <c r="GXR2" s="15"/>
      <c r="GXS2" s="15"/>
      <c r="GXT2" s="15"/>
      <c r="GXU2" s="15"/>
      <c r="GXV2" s="15"/>
      <c r="GXW2" s="15"/>
      <c r="GXX2" s="15"/>
      <c r="GXY2" s="15"/>
      <c r="GXZ2" s="15"/>
      <c r="GYA2" s="15"/>
      <c r="GYB2" s="15"/>
      <c r="GYC2" s="15"/>
      <c r="GYD2" s="15"/>
      <c r="GYE2" s="15"/>
      <c r="GYF2" s="15"/>
      <c r="GYG2" s="15"/>
      <c r="GYH2" s="15"/>
      <c r="GYI2" s="15"/>
      <c r="GYJ2" s="15"/>
      <c r="GYK2" s="15"/>
      <c r="GYL2" s="15"/>
      <c r="GYM2" s="15"/>
      <c r="GYN2" s="15"/>
      <c r="GYO2" s="15"/>
      <c r="GYP2" s="15"/>
      <c r="GYQ2" s="15"/>
      <c r="GYR2" s="15"/>
      <c r="GYS2" s="15"/>
      <c r="GYT2" s="15"/>
      <c r="GYU2" s="15"/>
      <c r="GYV2" s="15"/>
      <c r="GYW2" s="15"/>
      <c r="GYX2" s="15"/>
      <c r="GYY2" s="15"/>
      <c r="GYZ2" s="15"/>
      <c r="GZA2" s="15"/>
      <c r="GZB2" s="15"/>
      <c r="GZC2" s="15"/>
      <c r="GZD2" s="15"/>
      <c r="GZE2" s="15"/>
      <c r="GZF2" s="15"/>
      <c r="GZG2" s="15"/>
      <c r="GZH2" s="15"/>
      <c r="GZI2" s="15"/>
      <c r="GZJ2" s="15"/>
      <c r="GZK2" s="15"/>
      <c r="GZL2" s="15"/>
      <c r="GZM2" s="15"/>
      <c r="GZN2" s="15"/>
      <c r="GZO2" s="15"/>
      <c r="GZP2" s="15"/>
      <c r="GZQ2" s="15"/>
      <c r="GZR2" s="15"/>
      <c r="GZS2" s="15"/>
      <c r="GZT2" s="15"/>
      <c r="GZU2" s="15"/>
      <c r="GZV2" s="15"/>
      <c r="GZW2" s="15"/>
      <c r="GZX2" s="15"/>
      <c r="GZY2" s="15"/>
      <c r="GZZ2" s="15"/>
      <c r="HAA2" s="15"/>
      <c r="HAB2" s="15"/>
      <c r="HAC2" s="15"/>
      <c r="HAD2" s="15"/>
      <c r="HAE2" s="15"/>
      <c r="HAF2" s="15"/>
      <c r="HAG2" s="15"/>
      <c r="HAH2" s="15"/>
      <c r="HAI2" s="15"/>
      <c r="HAJ2" s="15"/>
      <c r="HAK2" s="15"/>
      <c r="HAL2" s="15"/>
      <c r="HAM2" s="15"/>
      <c r="HAN2" s="15"/>
      <c r="HAO2" s="15"/>
      <c r="HAP2" s="15"/>
      <c r="HAQ2" s="15"/>
      <c r="HAR2" s="15"/>
      <c r="HAS2" s="15"/>
      <c r="HAT2" s="15"/>
      <c r="HAU2" s="15"/>
      <c r="HAV2" s="15"/>
      <c r="HAW2" s="15"/>
      <c r="HAX2" s="15"/>
      <c r="HAY2" s="15"/>
      <c r="HAZ2" s="15"/>
      <c r="HBA2" s="15"/>
      <c r="HBB2" s="15"/>
      <c r="HBC2" s="15"/>
      <c r="HBD2" s="15"/>
      <c r="HBE2" s="15"/>
      <c r="HBF2" s="15"/>
      <c r="HBG2" s="15"/>
      <c r="HBH2" s="15"/>
      <c r="HBI2" s="15"/>
      <c r="HBJ2" s="15"/>
      <c r="HBK2" s="15"/>
      <c r="HBL2" s="15"/>
      <c r="HBM2" s="15"/>
      <c r="HBN2" s="15"/>
      <c r="HBO2" s="15"/>
      <c r="HBP2" s="15"/>
      <c r="HBQ2" s="15"/>
      <c r="HBR2" s="15"/>
      <c r="HBS2" s="15"/>
      <c r="HBT2" s="15"/>
      <c r="HBU2" s="15"/>
      <c r="HBV2" s="15"/>
      <c r="HBW2" s="15"/>
      <c r="HBX2" s="15"/>
      <c r="HBY2" s="15"/>
      <c r="HBZ2" s="15"/>
      <c r="HCA2" s="15"/>
      <c r="HCB2" s="15"/>
      <c r="HCC2" s="15"/>
      <c r="HCD2" s="15"/>
      <c r="HCE2" s="15"/>
      <c r="HCF2" s="15"/>
      <c r="HCG2" s="15"/>
      <c r="HCH2" s="15"/>
      <c r="HCI2" s="15"/>
      <c r="HCJ2" s="15"/>
      <c r="HCK2" s="15"/>
      <c r="HCL2" s="15"/>
      <c r="HCM2" s="15"/>
      <c r="HCN2" s="15"/>
      <c r="HCO2" s="15"/>
      <c r="HCP2" s="15"/>
      <c r="HCQ2" s="15"/>
      <c r="HCR2" s="15"/>
      <c r="HCS2" s="15"/>
      <c r="HCT2" s="15"/>
      <c r="HCU2" s="15"/>
      <c r="HCV2" s="15"/>
      <c r="HCW2" s="15"/>
      <c r="HCX2" s="15"/>
      <c r="HCY2" s="15"/>
      <c r="HCZ2" s="15"/>
      <c r="HDA2" s="15"/>
      <c r="HDB2" s="15"/>
      <c r="HDC2" s="15"/>
      <c r="HDD2" s="15"/>
      <c r="HDE2" s="15"/>
      <c r="HDF2" s="15"/>
      <c r="HDG2" s="15"/>
      <c r="HDH2" s="15"/>
      <c r="HDI2" s="15"/>
      <c r="HDJ2" s="15"/>
      <c r="HDK2" s="15"/>
      <c r="HDL2" s="15"/>
      <c r="HDM2" s="15"/>
      <c r="HDN2" s="15"/>
      <c r="HDO2" s="15"/>
      <c r="HDP2" s="15"/>
      <c r="HDQ2" s="15"/>
      <c r="HDR2" s="15"/>
      <c r="HDS2" s="15"/>
      <c r="HDT2" s="15"/>
      <c r="HDU2" s="15"/>
      <c r="HDV2" s="15"/>
      <c r="HDW2" s="15"/>
      <c r="HDX2" s="15"/>
      <c r="HDY2" s="15"/>
      <c r="HDZ2" s="15"/>
      <c r="HEA2" s="15"/>
      <c r="HEB2" s="15"/>
      <c r="HEC2" s="15"/>
      <c r="HED2" s="15"/>
      <c r="HEE2" s="15"/>
      <c r="HEF2" s="15"/>
      <c r="HEG2" s="15"/>
      <c r="HEH2" s="15"/>
      <c r="HEI2" s="15"/>
      <c r="HEJ2" s="15"/>
      <c r="HEK2" s="15"/>
      <c r="HEL2" s="15"/>
      <c r="HEM2" s="15"/>
      <c r="HEN2" s="15"/>
      <c r="HEO2" s="15"/>
      <c r="HEP2" s="15"/>
      <c r="HEQ2" s="15"/>
      <c r="HER2" s="15"/>
      <c r="HES2" s="15"/>
      <c r="HET2" s="15"/>
      <c r="HEU2" s="15"/>
      <c r="HEV2" s="15"/>
      <c r="HEW2" s="15"/>
      <c r="HEX2" s="15"/>
      <c r="HEY2" s="15"/>
      <c r="HEZ2" s="15"/>
      <c r="HFA2" s="15"/>
      <c r="HFB2" s="15"/>
      <c r="HFC2" s="15"/>
      <c r="HFD2" s="15"/>
      <c r="HFE2" s="15"/>
      <c r="HFF2" s="15"/>
      <c r="HFG2" s="15"/>
      <c r="HFH2" s="15"/>
      <c r="HFI2" s="15"/>
      <c r="HFJ2" s="15"/>
      <c r="HFK2" s="15"/>
      <c r="HFL2" s="15"/>
      <c r="HFM2" s="15"/>
      <c r="HFN2" s="15"/>
      <c r="HFO2" s="15"/>
      <c r="HFP2" s="15"/>
      <c r="HFQ2" s="15"/>
      <c r="HFR2" s="15"/>
      <c r="HFS2" s="15"/>
      <c r="HFT2" s="15"/>
      <c r="HFU2" s="15"/>
      <c r="HFV2" s="15"/>
      <c r="HFW2" s="15"/>
      <c r="HFX2" s="15"/>
      <c r="HFY2" s="15"/>
      <c r="HFZ2" s="15"/>
      <c r="HGA2" s="15"/>
      <c r="HGB2" s="15"/>
      <c r="HGC2" s="15"/>
      <c r="HGD2" s="15"/>
      <c r="HGE2" s="15"/>
      <c r="HGF2" s="15"/>
      <c r="HGG2" s="15"/>
      <c r="HGH2" s="15"/>
      <c r="HGI2" s="15"/>
      <c r="HGJ2" s="15"/>
      <c r="HGK2" s="15"/>
      <c r="HGL2" s="15"/>
      <c r="HGM2" s="15"/>
      <c r="HGN2" s="15"/>
      <c r="HGO2" s="15"/>
      <c r="HGP2" s="15"/>
      <c r="HGQ2" s="15"/>
      <c r="HGR2" s="15"/>
      <c r="HGS2" s="15"/>
      <c r="HGT2" s="15"/>
      <c r="HGU2" s="15"/>
      <c r="HGV2" s="15"/>
      <c r="HGW2" s="15"/>
      <c r="HGX2" s="15"/>
      <c r="HGY2" s="15"/>
      <c r="HGZ2" s="15"/>
      <c r="HHA2" s="15"/>
      <c r="HHB2" s="15"/>
      <c r="HHC2" s="15"/>
      <c r="HHD2" s="15"/>
      <c r="HHE2" s="15"/>
      <c r="HHF2" s="15"/>
      <c r="HHG2" s="15"/>
      <c r="HHH2" s="15"/>
      <c r="HHI2" s="15"/>
      <c r="HHJ2" s="15"/>
      <c r="HHK2" s="15"/>
      <c r="HHL2" s="15"/>
      <c r="HHM2" s="15"/>
      <c r="HHN2" s="15"/>
      <c r="HHO2" s="15"/>
      <c r="HHP2" s="15"/>
      <c r="HHQ2" s="15"/>
      <c r="HHR2" s="15"/>
      <c r="HHS2" s="15"/>
      <c r="HHT2" s="15"/>
      <c r="HHU2" s="15"/>
      <c r="HHV2" s="15"/>
      <c r="HHW2" s="15"/>
      <c r="HHX2" s="15"/>
      <c r="HHY2" s="15"/>
      <c r="HHZ2" s="15"/>
      <c r="HIA2" s="15"/>
      <c r="HIB2" s="15"/>
      <c r="HIC2" s="15"/>
      <c r="HID2" s="15"/>
      <c r="HIE2" s="15"/>
      <c r="HIF2" s="15"/>
      <c r="HIG2" s="15"/>
      <c r="HIH2" s="15"/>
      <c r="HII2" s="15"/>
      <c r="HIJ2" s="15"/>
      <c r="HIK2" s="15"/>
      <c r="HIL2" s="15"/>
      <c r="HIM2" s="15"/>
      <c r="HIN2" s="15"/>
      <c r="HIO2" s="15"/>
      <c r="HIP2" s="15"/>
      <c r="HIQ2" s="15"/>
      <c r="HIR2" s="15"/>
      <c r="HIS2" s="15"/>
      <c r="HIT2" s="15"/>
      <c r="HIU2" s="15"/>
      <c r="HIV2" s="15"/>
      <c r="HIW2" s="15"/>
      <c r="HIX2" s="15"/>
      <c r="HIY2" s="15"/>
      <c r="HIZ2" s="15"/>
      <c r="HJA2" s="15"/>
      <c r="HJB2" s="15"/>
      <c r="HJC2" s="15"/>
      <c r="HJD2" s="15"/>
      <c r="HJE2" s="15"/>
      <c r="HJF2" s="15"/>
      <c r="HJG2" s="15"/>
      <c r="HJH2" s="15"/>
      <c r="HJI2" s="15"/>
      <c r="HJJ2" s="15"/>
      <c r="HJK2" s="15"/>
      <c r="HJL2" s="15"/>
      <c r="HJM2" s="15"/>
      <c r="HJN2" s="15"/>
      <c r="HJO2" s="15"/>
      <c r="HJP2" s="15"/>
      <c r="HJQ2" s="15"/>
      <c r="HJR2" s="15"/>
      <c r="HJS2" s="15"/>
      <c r="HJT2" s="15"/>
      <c r="HJU2" s="15"/>
      <c r="HJV2" s="15"/>
      <c r="HJW2" s="15"/>
      <c r="HJX2" s="15"/>
      <c r="HJY2" s="15"/>
      <c r="HJZ2" s="15"/>
      <c r="HKA2" s="15"/>
      <c r="HKB2" s="15"/>
      <c r="HKC2" s="15"/>
      <c r="HKD2" s="15"/>
      <c r="HKE2" s="15"/>
      <c r="HKF2" s="15"/>
      <c r="HKG2" s="15"/>
      <c r="HKH2" s="15"/>
      <c r="HKI2" s="15"/>
      <c r="HKJ2" s="15"/>
      <c r="HKK2" s="15"/>
      <c r="HKL2" s="15"/>
      <c r="HKM2" s="15"/>
      <c r="HKN2" s="15"/>
      <c r="HKO2" s="15"/>
      <c r="HKP2" s="15"/>
      <c r="HKQ2" s="15"/>
      <c r="HKR2" s="15"/>
      <c r="HKS2" s="15"/>
      <c r="HKT2" s="15"/>
      <c r="HKU2" s="15"/>
      <c r="HKV2" s="15"/>
      <c r="HKW2" s="15"/>
      <c r="HKX2" s="15"/>
      <c r="HKY2" s="15"/>
      <c r="HKZ2" s="15"/>
      <c r="HLA2" s="15"/>
      <c r="HLB2" s="15"/>
      <c r="HLC2" s="15"/>
      <c r="HLD2" s="15"/>
      <c r="HLE2" s="15"/>
      <c r="HLF2" s="15"/>
      <c r="HLG2" s="15"/>
      <c r="HLH2" s="15"/>
      <c r="HLI2" s="15"/>
      <c r="HLJ2" s="15"/>
      <c r="HLK2" s="15"/>
      <c r="HLL2" s="15"/>
      <c r="HLM2" s="15"/>
      <c r="HLN2" s="15"/>
      <c r="HLO2" s="15"/>
      <c r="HLP2" s="15"/>
      <c r="HLQ2" s="15"/>
      <c r="HLR2" s="15"/>
      <c r="HLS2" s="15"/>
      <c r="HLT2" s="15"/>
      <c r="HLU2" s="15"/>
      <c r="HLV2" s="15"/>
      <c r="HLW2" s="15"/>
      <c r="HLX2" s="15"/>
      <c r="HLY2" s="15"/>
      <c r="HLZ2" s="15"/>
      <c r="HMA2" s="15"/>
      <c r="HMB2" s="15"/>
      <c r="HMC2" s="15"/>
      <c r="HMD2" s="15"/>
      <c r="HME2" s="15"/>
      <c r="HMF2" s="15"/>
      <c r="HMG2" s="15"/>
      <c r="HMH2" s="15"/>
      <c r="HMI2" s="15"/>
      <c r="HMJ2" s="15"/>
      <c r="HMK2" s="15"/>
      <c r="HML2" s="15"/>
      <c r="HMM2" s="15"/>
      <c r="HMN2" s="15"/>
      <c r="HMO2" s="15"/>
      <c r="HMP2" s="15"/>
      <c r="HMQ2" s="15"/>
      <c r="HMR2" s="15"/>
      <c r="HMS2" s="15"/>
      <c r="HMT2" s="15"/>
      <c r="HMU2" s="15"/>
      <c r="HMV2" s="15"/>
      <c r="HMW2" s="15"/>
      <c r="HMX2" s="15"/>
      <c r="HMY2" s="15"/>
      <c r="HMZ2" s="15"/>
      <c r="HNA2" s="15"/>
      <c r="HNB2" s="15"/>
      <c r="HNC2" s="15"/>
      <c r="HND2" s="15"/>
      <c r="HNE2" s="15"/>
      <c r="HNF2" s="15"/>
      <c r="HNG2" s="15"/>
      <c r="HNH2" s="15"/>
      <c r="HNI2" s="15"/>
      <c r="HNJ2" s="15"/>
      <c r="HNK2" s="15"/>
      <c r="HNL2" s="15"/>
      <c r="HNM2" s="15"/>
      <c r="HNN2" s="15"/>
      <c r="HNO2" s="15"/>
      <c r="HNP2" s="15"/>
      <c r="HNQ2" s="15"/>
      <c r="HNR2" s="15"/>
      <c r="HNS2" s="15"/>
      <c r="HNT2" s="15"/>
      <c r="HNU2" s="15"/>
      <c r="HNV2" s="15"/>
      <c r="HNW2" s="15"/>
      <c r="HNX2" s="15"/>
      <c r="HNY2" s="15"/>
      <c r="HNZ2" s="15"/>
      <c r="HOA2" s="15"/>
      <c r="HOB2" s="15"/>
      <c r="HOC2" s="15"/>
      <c r="HOD2" s="15"/>
      <c r="HOE2" s="15"/>
      <c r="HOF2" s="15"/>
      <c r="HOG2" s="15"/>
      <c r="HOH2" s="15"/>
      <c r="HOI2" s="15"/>
      <c r="HOJ2" s="15"/>
      <c r="HOK2" s="15"/>
      <c r="HOL2" s="15"/>
      <c r="HOM2" s="15"/>
      <c r="HON2" s="15"/>
      <c r="HOO2" s="15"/>
      <c r="HOP2" s="15"/>
      <c r="HOQ2" s="15"/>
      <c r="HOR2" s="15"/>
      <c r="HOS2" s="15"/>
      <c r="HOT2" s="15"/>
      <c r="HOU2" s="15"/>
      <c r="HOV2" s="15"/>
      <c r="HOW2" s="15"/>
      <c r="HOX2" s="15"/>
      <c r="HOY2" s="15"/>
      <c r="HOZ2" s="15"/>
      <c r="HPA2" s="15"/>
      <c r="HPB2" s="15"/>
      <c r="HPC2" s="15"/>
      <c r="HPD2" s="15"/>
      <c r="HPE2" s="15"/>
      <c r="HPF2" s="15"/>
      <c r="HPG2" s="15"/>
      <c r="HPH2" s="15"/>
      <c r="HPI2" s="15"/>
      <c r="HPJ2" s="15"/>
      <c r="HPK2" s="15"/>
      <c r="HPL2" s="15"/>
      <c r="HPM2" s="15"/>
      <c r="HPN2" s="15"/>
      <c r="HPO2" s="15"/>
      <c r="HPP2" s="15"/>
      <c r="HPQ2" s="15"/>
      <c r="HPR2" s="15"/>
      <c r="HPS2" s="15"/>
      <c r="HPT2" s="15"/>
      <c r="HPU2" s="15"/>
      <c r="HPV2" s="15"/>
      <c r="HPW2" s="15"/>
      <c r="HPX2" s="15"/>
      <c r="HPY2" s="15"/>
      <c r="HPZ2" s="15"/>
      <c r="HQA2" s="15"/>
      <c r="HQB2" s="15"/>
      <c r="HQC2" s="15"/>
      <c r="HQD2" s="15"/>
      <c r="HQE2" s="15"/>
      <c r="HQF2" s="15"/>
      <c r="HQG2" s="15"/>
      <c r="HQH2" s="15"/>
      <c r="HQI2" s="15"/>
      <c r="HQJ2" s="15"/>
      <c r="HQK2" s="15"/>
      <c r="HQL2" s="15"/>
      <c r="HQM2" s="15"/>
      <c r="HQN2" s="15"/>
      <c r="HQO2" s="15"/>
      <c r="HQP2" s="15"/>
      <c r="HQQ2" s="15"/>
      <c r="HQR2" s="15"/>
      <c r="HQS2" s="15"/>
      <c r="HQT2" s="15"/>
      <c r="HQU2" s="15"/>
      <c r="HQV2" s="15"/>
      <c r="HQW2" s="15"/>
      <c r="HQX2" s="15"/>
      <c r="HQY2" s="15"/>
      <c r="HQZ2" s="15"/>
      <c r="HRA2" s="15"/>
      <c r="HRB2" s="15"/>
      <c r="HRC2" s="15"/>
      <c r="HRD2" s="15"/>
      <c r="HRE2" s="15"/>
      <c r="HRF2" s="15"/>
      <c r="HRG2" s="15"/>
      <c r="HRH2" s="15"/>
      <c r="HRI2" s="15"/>
      <c r="HRJ2" s="15"/>
      <c r="HRK2" s="15"/>
      <c r="HRL2" s="15"/>
      <c r="HRM2" s="15"/>
      <c r="HRN2" s="15"/>
      <c r="HRO2" s="15"/>
      <c r="HRP2" s="15"/>
      <c r="HRQ2" s="15"/>
      <c r="HRR2" s="15"/>
      <c r="HRS2" s="15"/>
      <c r="HRT2" s="15"/>
      <c r="HRU2" s="15"/>
      <c r="HRV2" s="15"/>
      <c r="HRW2" s="15"/>
      <c r="HRX2" s="15"/>
      <c r="HRY2" s="15"/>
      <c r="HRZ2" s="15"/>
      <c r="HSA2" s="15"/>
      <c r="HSB2" s="15"/>
      <c r="HSC2" s="15"/>
      <c r="HSD2" s="15"/>
      <c r="HSE2" s="15"/>
      <c r="HSF2" s="15"/>
      <c r="HSG2" s="15"/>
      <c r="HSH2" s="15"/>
      <c r="HSI2" s="15"/>
      <c r="HSJ2" s="15"/>
      <c r="HSK2" s="15"/>
      <c r="HSL2" s="15"/>
      <c r="HSM2" s="15"/>
      <c r="HSN2" s="15"/>
      <c r="HSO2" s="15"/>
      <c r="HSP2" s="15"/>
      <c r="HSQ2" s="15"/>
      <c r="HSR2" s="15"/>
      <c r="HSS2" s="15"/>
      <c r="HST2" s="15"/>
      <c r="HSU2" s="15"/>
      <c r="HSV2" s="15"/>
      <c r="HSW2" s="15"/>
      <c r="HSX2" s="15"/>
      <c r="HSY2" s="15"/>
      <c r="HSZ2" s="15"/>
      <c r="HTA2" s="15"/>
      <c r="HTB2" s="15"/>
      <c r="HTC2" s="15"/>
      <c r="HTD2" s="15"/>
      <c r="HTE2" s="15"/>
      <c r="HTF2" s="15"/>
      <c r="HTG2" s="15"/>
      <c r="HTH2" s="15"/>
      <c r="HTI2" s="15"/>
      <c r="HTJ2" s="15"/>
      <c r="HTK2" s="15"/>
      <c r="HTL2" s="15"/>
      <c r="HTM2" s="15"/>
      <c r="HTN2" s="15"/>
      <c r="HTO2" s="15"/>
      <c r="HTP2" s="15"/>
      <c r="HTQ2" s="15"/>
      <c r="HTR2" s="15"/>
      <c r="HTS2" s="15"/>
      <c r="HTT2" s="15"/>
      <c r="HTU2" s="15"/>
      <c r="HTV2" s="15"/>
      <c r="HTW2" s="15"/>
      <c r="HTX2" s="15"/>
      <c r="HTY2" s="15"/>
      <c r="HTZ2" s="15"/>
      <c r="HUA2" s="15"/>
      <c r="HUB2" s="15"/>
      <c r="HUC2" s="15"/>
      <c r="HUD2" s="15"/>
      <c r="HUE2" s="15"/>
      <c r="HUF2" s="15"/>
      <c r="HUG2" s="15"/>
      <c r="HUH2" s="15"/>
      <c r="HUI2" s="15"/>
      <c r="HUJ2" s="15"/>
      <c r="HUK2" s="15"/>
      <c r="HUL2" s="15"/>
      <c r="HUM2" s="15"/>
      <c r="HUN2" s="15"/>
      <c r="HUO2" s="15"/>
      <c r="HUP2" s="15"/>
      <c r="HUQ2" s="15"/>
      <c r="HUR2" s="15"/>
      <c r="HUS2" s="15"/>
      <c r="HUT2" s="15"/>
      <c r="HUU2" s="15"/>
      <c r="HUV2" s="15"/>
      <c r="HUW2" s="15"/>
      <c r="HUX2" s="15"/>
      <c r="HUY2" s="15"/>
      <c r="HUZ2" s="15"/>
      <c r="HVA2" s="15"/>
      <c r="HVB2" s="15"/>
      <c r="HVC2" s="15"/>
      <c r="HVD2" s="15"/>
      <c r="HVE2" s="15"/>
      <c r="HVF2" s="15"/>
      <c r="HVG2" s="15"/>
      <c r="HVH2" s="15"/>
      <c r="HVI2" s="15"/>
      <c r="HVJ2" s="15"/>
      <c r="HVK2" s="15"/>
      <c r="HVL2" s="15"/>
      <c r="HVM2" s="15"/>
      <c r="HVN2" s="15"/>
      <c r="HVO2" s="15"/>
      <c r="HVP2" s="15"/>
      <c r="HVQ2" s="15"/>
      <c r="HVR2" s="15"/>
      <c r="HVS2" s="15"/>
      <c r="HVT2" s="15"/>
      <c r="HVU2" s="15"/>
      <c r="HVV2" s="15"/>
      <c r="HVW2" s="15"/>
      <c r="HVX2" s="15"/>
      <c r="HVY2" s="15"/>
      <c r="HVZ2" s="15"/>
      <c r="HWA2" s="15"/>
      <c r="HWB2" s="15"/>
      <c r="HWC2" s="15"/>
      <c r="HWD2" s="15"/>
      <c r="HWE2" s="15"/>
      <c r="HWF2" s="15"/>
      <c r="HWG2" s="15"/>
      <c r="HWH2" s="15"/>
      <c r="HWI2" s="15"/>
      <c r="HWJ2" s="15"/>
      <c r="HWK2" s="15"/>
      <c r="HWL2" s="15"/>
      <c r="HWM2" s="15"/>
      <c r="HWN2" s="15"/>
      <c r="HWO2" s="15"/>
      <c r="HWP2" s="15"/>
      <c r="HWQ2" s="15"/>
      <c r="HWR2" s="15"/>
      <c r="HWS2" s="15"/>
      <c r="HWT2" s="15"/>
      <c r="HWU2" s="15"/>
      <c r="HWV2" s="15"/>
      <c r="HWW2" s="15"/>
      <c r="HWX2" s="15"/>
      <c r="HWY2" s="15"/>
      <c r="HWZ2" s="15"/>
      <c r="HXA2" s="15"/>
      <c r="HXB2" s="15"/>
      <c r="HXC2" s="15"/>
      <c r="HXD2" s="15"/>
      <c r="HXE2" s="15"/>
      <c r="HXF2" s="15"/>
      <c r="HXG2" s="15"/>
      <c r="HXH2" s="15"/>
      <c r="HXI2" s="15"/>
      <c r="HXJ2" s="15"/>
      <c r="HXK2" s="15"/>
      <c r="HXL2" s="15"/>
      <c r="HXM2" s="15"/>
      <c r="HXN2" s="15"/>
      <c r="HXO2" s="15"/>
      <c r="HXP2" s="15"/>
      <c r="HXQ2" s="15"/>
      <c r="HXR2" s="15"/>
      <c r="HXS2" s="15"/>
      <c r="HXT2" s="15"/>
      <c r="HXU2" s="15"/>
      <c r="HXV2" s="15"/>
      <c r="HXW2" s="15"/>
      <c r="HXX2" s="15"/>
      <c r="HXY2" s="15"/>
      <c r="HXZ2" s="15"/>
      <c r="HYA2" s="15"/>
      <c r="HYB2" s="15"/>
      <c r="HYC2" s="15"/>
      <c r="HYD2" s="15"/>
      <c r="HYE2" s="15"/>
      <c r="HYF2" s="15"/>
      <c r="HYG2" s="15"/>
      <c r="HYH2" s="15"/>
      <c r="HYI2" s="15"/>
      <c r="HYJ2" s="15"/>
      <c r="HYK2" s="15"/>
      <c r="HYL2" s="15"/>
      <c r="HYM2" s="15"/>
      <c r="HYN2" s="15"/>
      <c r="HYO2" s="15"/>
      <c r="HYP2" s="15"/>
      <c r="HYQ2" s="15"/>
      <c r="HYR2" s="15"/>
      <c r="HYS2" s="15"/>
      <c r="HYT2" s="15"/>
      <c r="HYU2" s="15"/>
      <c r="HYV2" s="15"/>
      <c r="HYW2" s="15"/>
      <c r="HYX2" s="15"/>
      <c r="HYY2" s="15"/>
      <c r="HYZ2" s="15"/>
      <c r="HZA2" s="15"/>
      <c r="HZB2" s="15"/>
      <c r="HZC2" s="15"/>
      <c r="HZD2" s="15"/>
      <c r="HZE2" s="15"/>
      <c r="HZF2" s="15"/>
      <c r="HZG2" s="15"/>
      <c r="HZH2" s="15"/>
      <c r="HZI2" s="15"/>
      <c r="HZJ2" s="15"/>
      <c r="HZK2" s="15"/>
      <c r="HZL2" s="15"/>
      <c r="HZM2" s="15"/>
      <c r="HZN2" s="15"/>
      <c r="HZO2" s="15"/>
      <c r="HZP2" s="15"/>
      <c r="HZQ2" s="15"/>
      <c r="HZR2" s="15"/>
      <c r="HZS2" s="15"/>
      <c r="HZT2" s="15"/>
      <c r="HZU2" s="15"/>
      <c r="HZV2" s="15"/>
      <c r="HZW2" s="15"/>
      <c r="HZX2" s="15"/>
      <c r="HZY2" s="15"/>
      <c r="HZZ2" s="15"/>
      <c r="IAA2" s="15"/>
      <c r="IAB2" s="15"/>
      <c r="IAC2" s="15"/>
      <c r="IAD2" s="15"/>
      <c r="IAE2" s="15"/>
      <c r="IAF2" s="15"/>
      <c r="IAG2" s="15"/>
      <c r="IAH2" s="15"/>
      <c r="IAI2" s="15"/>
      <c r="IAJ2" s="15"/>
      <c r="IAK2" s="15"/>
      <c r="IAL2" s="15"/>
      <c r="IAM2" s="15"/>
      <c r="IAN2" s="15"/>
      <c r="IAO2" s="15"/>
      <c r="IAP2" s="15"/>
      <c r="IAQ2" s="15"/>
      <c r="IAR2" s="15"/>
      <c r="IAS2" s="15"/>
      <c r="IAT2" s="15"/>
      <c r="IAU2" s="15"/>
      <c r="IAV2" s="15"/>
      <c r="IAW2" s="15"/>
      <c r="IAX2" s="15"/>
      <c r="IAY2" s="15"/>
      <c r="IAZ2" s="15"/>
      <c r="IBA2" s="15"/>
      <c r="IBB2" s="15"/>
      <c r="IBC2" s="15"/>
      <c r="IBD2" s="15"/>
      <c r="IBE2" s="15"/>
      <c r="IBF2" s="15"/>
      <c r="IBG2" s="15"/>
      <c r="IBH2" s="15"/>
      <c r="IBI2" s="15"/>
      <c r="IBJ2" s="15"/>
      <c r="IBK2" s="15"/>
      <c r="IBL2" s="15"/>
      <c r="IBM2" s="15"/>
      <c r="IBN2" s="15"/>
      <c r="IBO2" s="15"/>
      <c r="IBP2" s="15"/>
      <c r="IBQ2" s="15"/>
      <c r="IBR2" s="15"/>
      <c r="IBS2" s="15"/>
      <c r="IBT2" s="15"/>
      <c r="IBU2" s="15"/>
      <c r="IBV2" s="15"/>
      <c r="IBW2" s="15"/>
      <c r="IBX2" s="15"/>
      <c r="IBY2" s="15"/>
      <c r="IBZ2" s="15"/>
      <c r="ICA2" s="15"/>
      <c r="ICB2" s="15"/>
      <c r="ICC2" s="15"/>
      <c r="ICD2" s="15"/>
      <c r="ICE2" s="15"/>
      <c r="ICF2" s="15"/>
      <c r="ICG2" s="15"/>
      <c r="ICH2" s="15"/>
      <c r="ICI2" s="15"/>
      <c r="ICJ2" s="15"/>
      <c r="ICK2" s="15"/>
      <c r="ICL2" s="15"/>
      <c r="ICM2" s="15"/>
      <c r="ICN2" s="15"/>
      <c r="ICO2" s="15"/>
      <c r="ICP2" s="15"/>
      <c r="ICQ2" s="15"/>
      <c r="ICR2" s="15"/>
      <c r="ICS2" s="15"/>
      <c r="ICT2" s="15"/>
      <c r="ICU2" s="15"/>
      <c r="ICV2" s="15"/>
      <c r="ICW2" s="15"/>
      <c r="ICX2" s="15"/>
      <c r="ICY2" s="15"/>
      <c r="ICZ2" s="15"/>
      <c r="IDA2" s="15"/>
      <c r="IDB2" s="15"/>
      <c r="IDC2" s="15"/>
      <c r="IDD2" s="15"/>
      <c r="IDE2" s="15"/>
      <c r="IDF2" s="15"/>
      <c r="IDG2" s="15"/>
      <c r="IDH2" s="15"/>
      <c r="IDI2" s="15"/>
      <c r="IDJ2" s="15"/>
      <c r="IDK2" s="15"/>
      <c r="IDL2" s="15"/>
      <c r="IDM2" s="15"/>
      <c r="IDN2" s="15"/>
      <c r="IDO2" s="15"/>
      <c r="IDP2" s="15"/>
      <c r="IDQ2" s="15"/>
      <c r="IDR2" s="15"/>
      <c r="IDS2" s="15"/>
      <c r="IDT2" s="15"/>
      <c r="IDU2" s="15"/>
      <c r="IDV2" s="15"/>
      <c r="IDW2" s="15"/>
      <c r="IDX2" s="15"/>
      <c r="IDY2" s="15"/>
      <c r="IDZ2" s="15"/>
      <c r="IEA2" s="15"/>
      <c r="IEB2" s="15"/>
      <c r="IEC2" s="15"/>
      <c r="IED2" s="15"/>
      <c r="IEE2" s="15"/>
      <c r="IEF2" s="15"/>
      <c r="IEG2" s="15"/>
      <c r="IEH2" s="15"/>
      <c r="IEI2" s="15"/>
      <c r="IEJ2" s="15"/>
      <c r="IEK2" s="15"/>
      <c r="IEL2" s="15"/>
      <c r="IEM2" s="15"/>
      <c r="IEN2" s="15"/>
      <c r="IEO2" s="15"/>
      <c r="IEP2" s="15"/>
      <c r="IEQ2" s="15"/>
      <c r="IER2" s="15"/>
      <c r="IES2" s="15"/>
      <c r="IET2" s="15"/>
      <c r="IEU2" s="15"/>
      <c r="IEV2" s="15"/>
      <c r="IEW2" s="15"/>
      <c r="IEX2" s="15"/>
      <c r="IEY2" s="15"/>
      <c r="IEZ2" s="15"/>
      <c r="IFA2" s="15"/>
      <c r="IFB2" s="15"/>
      <c r="IFC2" s="15"/>
      <c r="IFD2" s="15"/>
      <c r="IFE2" s="15"/>
      <c r="IFF2" s="15"/>
      <c r="IFG2" s="15"/>
      <c r="IFH2" s="15"/>
      <c r="IFI2" s="15"/>
      <c r="IFJ2" s="15"/>
      <c r="IFK2" s="15"/>
      <c r="IFL2" s="15"/>
      <c r="IFM2" s="15"/>
      <c r="IFN2" s="15"/>
      <c r="IFO2" s="15"/>
      <c r="IFP2" s="15"/>
      <c r="IFQ2" s="15"/>
      <c r="IFR2" s="15"/>
      <c r="IFS2" s="15"/>
      <c r="IFT2" s="15"/>
      <c r="IFU2" s="15"/>
      <c r="IFV2" s="15"/>
      <c r="IFW2" s="15"/>
      <c r="IFX2" s="15"/>
      <c r="IFY2" s="15"/>
      <c r="IFZ2" s="15"/>
      <c r="IGA2" s="15"/>
      <c r="IGB2" s="15"/>
      <c r="IGC2" s="15"/>
      <c r="IGD2" s="15"/>
      <c r="IGE2" s="15"/>
      <c r="IGF2" s="15"/>
      <c r="IGG2" s="15"/>
      <c r="IGH2" s="15"/>
      <c r="IGI2" s="15"/>
      <c r="IGJ2" s="15"/>
      <c r="IGK2" s="15"/>
      <c r="IGL2" s="15"/>
      <c r="IGM2" s="15"/>
      <c r="IGN2" s="15"/>
      <c r="IGO2" s="15"/>
      <c r="IGP2" s="15"/>
      <c r="IGQ2" s="15"/>
      <c r="IGR2" s="15"/>
      <c r="IGS2" s="15"/>
      <c r="IGT2" s="15"/>
      <c r="IGU2" s="15"/>
      <c r="IGV2" s="15"/>
      <c r="IGW2" s="15"/>
      <c r="IGX2" s="15"/>
      <c r="IGY2" s="15"/>
      <c r="IGZ2" s="15"/>
      <c r="IHA2" s="15"/>
      <c r="IHB2" s="15"/>
      <c r="IHC2" s="15"/>
      <c r="IHD2" s="15"/>
      <c r="IHE2" s="15"/>
      <c r="IHF2" s="15"/>
      <c r="IHG2" s="15"/>
      <c r="IHH2" s="15"/>
      <c r="IHI2" s="15"/>
      <c r="IHJ2" s="15"/>
      <c r="IHK2" s="15"/>
      <c r="IHL2" s="15"/>
      <c r="IHM2" s="15"/>
      <c r="IHN2" s="15"/>
      <c r="IHO2" s="15"/>
      <c r="IHP2" s="15"/>
      <c r="IHQ2" s="15"/>
      <c r="IHR2" s="15"/>
      <c r="IHS2" s="15"/>
      <c r="IHT2" s="15"/>
      <c r="IHU2" s="15"/>
      <c r="IHV2" s="15"/>
      <c r="IHW2" s="15"/>
      <c r="IHX2" s="15"/>
      <c r="IHY2" s="15"/>
      <c r="IHZ2" s="15"/>
      <c r="IIA2" s="15"/>
      <c r="IIB2" s="15"/>
      <c r="IIC2" s="15"/>
      <c r="IID2" s="15"/>
      <c r="IIE2" s="15"/>
      <c r="IIF2" s="15"/>
      <c r="IIG2" s="15"/>
      <c r="IIH2" s="15"/>
      <c r="III2" s="15"/>
      <c r="IIJ2" s="15"/>
      <c r="IIK2" s="15"/>
      <c r="IIL2" s="15"/>
      <c r="IIM2" s="15"/>
      <c r="IIN2" s="15"/>
      <c r="IIO2" s="15"/>
      <c r="IIP2" s="15"/>
      <c r="IIQ2" s="15"/>
      <c r="IIR2" s="15"/>
      <c r="IIS2" s="15"/>
      <c r="IIT2" s="15"/>
      <c r="IIU2" s="15"/>
      <c r="IIV2" s="15"/>
      <c r="IIW2" s="15"/>
      <c r="IIX2" s="15"/>
      <c r="IIY2" s="15"/>
      <c r="IIZ2" s="15"/>
      <c r="IJA2" s="15"/>
      <c r="IJB2" s="15"/>
      <c r="IJC2" s="15"/>
      <c r="IJD2" s="15"/>
      <c r="IJE2" s="15"/>
      <c r="IJF2" s="15"/>
      <c r="IJG2" s="15"/>
      <c r="IJH2" s="15"/>
      <c r="IJI2" s="15"/>
      <c r="IJJ2" s="15"/>
      <c r="IJK2" s="15"/>
      <c r="IJL2" s="15"/>
      <c r="IJM2" s="15"/>
      <c r="IJN2" s="15"/>
      <c r="IJO2" s="15"/>
      <c r="IJP2" s="15"/>
      <c r="IJQ2" s="15"/>
      <c r="IJR2" s="15"/>
      <c r="IJS2" s="15"/>
      <c r="IJT2" s="15"/>
      <c r="IJU2" s="15"/>
      <c r="IJV2" s="15"/>
      <c r="IJW2" s="15"/>
      <c r="IJX2" s="15"/>
      <c r="IJY2" s="15"/>
      <c r="IJZ2" s="15"/>
      <c r="IKA2" s="15"/>
      <c r="IKB2" s="15"/>
      <c r="IKC2" s="15"/>
      <c r="IKD2" s="15"/>
      <c r="IKE2" s="15"/>
      <c r="IKF2" s="15"/>
      <c r="IKG2" s="15"/>
      <c r="IKH2" s="15"/>
      <c r="IKI2" s="15"/>
      <c r="IKJ2" s="15"/>
      <c r="IKK2" s="15"/>
      <c r="IKL2" s="15"/>
      <c r="IKM2" s="15"/>
      <c r="IKN2" s="15"/>
      <c r="IKO2" s="15"/>
      <c r="IKP2" s="15"/>
      <c r="IKQ2" s="15"/>
      <c r="IKR2" s="15"/>
      <c r="IKS2" s="15"/>
      <c r="IKT2" s="15"/>
      <c r="IKU2" s="15"/>
      <c r="IKV2" s="15"/>
      <c r="IKW2" s="15"/>
      <c r="IKX2" s="15"/>
      <c r="IKY2" s="15"/>
      <c r="IKZ2" s="15"/>
      <c r="ILA2" s="15"/>
      <c r="ILB2" s="15"/>
      <c r="ILC2" s="15"/>
      <c r="ILD2" s="15"/>
      <c r="ILE2" s="15"/>
      <c r="ILF2" s="15"/>
      <c r="ILG2" s="15"/>
      <c r="ILH2" s="15"/>
      <c r="ILI2" s="15"/>
      <c r="ILJ2" s="15"/>
      <c r="ILK2" s="15"/>
      <c r="ILL2" s="15"/>
      <c r="ILM2" s="15"/>
      <c r="ILN2" s="15"/>
      <c r="ILO2" s="15"/>
      <c r="ILP2" s="15"/>
      <c r="ILQ2" s="15"/>
      <c r="ILR2" s="15"/>
      <c r="ILS2" s="15"/>
      <c r="ILT2" s="15"/>
      <c r="ILU2" s="15"/>
      <c r="ILV2" s="15"/>
      <c r="ILW2" s="15"/>
      <c r="ILX2" s="15"/>
      <c r="ILY2" s="15"/>
      <c r="ILZ2" s="15"/>
      <c r="IMA2" s="15"/>
      <c r="IMB2" s="15"/>
      <c r="IMC2" s="15"/>
      <c r="IMD2" s="15"/>
      <c r="IME2" s="15"/>
      <c r="IMF2" s="15"/>
      <c r="IMG2" s="15"/>
      <c r="IMH2" s="15"/>
      <c r="IMI2" s="15"/>
      <c r="IMJ2" s="15"/>
      <c r="IMK2" s="15"/>
      <c r="IML2" s="15"/>
      <c r="IMM2" s="15"/>
      <c r="IMN2" s="15"/>
      <c r="IMO2" s="15"/>
      <c r="IMP2" s="15"/>
      <c r="IMQ2" s="15"/>
      <c r="IMR2" s="15"/>
      <c r="IMS2" s="15"/>
      <c r="IMT2" s="15"/>
      <c r="IMU2" s="15"/>
      <c r="IMV2" s="15"/>
      <c r="IMW2" s="15"/>
      <c r="IMX2" s="15"/>
      <c r="IMY2" s="15"/>
      <c r="IMZ2" s="15"/>
      <c r="INA2" s="15"/>
      <c r="INB2" s="15"/>
      <c r="INC2" s="15"/>
      <c r="IND2" s="15"/>
      <c r="INE2" s="15"/>
      <c r="INF2" s="15"/>
      <c r="ING2" s="15"/>
      <c r="INH2" s="15"/>
      <c r="INI2" s="15"/>
      <c r="INJ2" s="15"/>
      <c r="INK2" s="15"/>
      <c r="INL2" s="15"/>
      <c r="INM2" s="15"/>
      <c r="INN2" s="15"/>
      <c r="INO2" s="15"/>
      <c r="INP2" s="15"/>
      <c r="INQ2" s="15"/>
      <c r="INR2" s="15"/>
      <c r="INS2" s="15"/>
      <c r="INT2" s="15"/>
      <c r="INU2" s="15"/>
      <c r="INV2" s="15"/>
      <c r="INW2" s="15"/>
      <c r="INX2" s="15"/>
      <c r="INY2" s="15"/>
      <c r="INZ2" s="15"/>
      <c r="IOA2" s="15"/>
      <c r="IOB2" s="15"/>
      <c r="IOC2" s="15"/>
      <c r="IOD2" s="15"/>
      <c r="IOE2" s="15"/>
      <c r="IOF2" s="15"/>
      <c r="IOG2" s="15"/>
      <c r="IOH2" s="15"/>
      <c r="IOI2" s="15"/>
      <c r="IOJ2" s="15"/>
      <c r="IOK2" s="15"/>
      <c r="IOL2" s="15"/>
      <c r="IOM2" s="15"/>
      <c r="ION2" s="15"/>
      <c r="IOO2" s="15"/>
      <c r="IOP2" s="15"/>
      <c r="IOQ2" s="15"/>
      <c r="IOR2" s="15"/>
      <c r="IOS2" s="15"/>
      <c r="IOT2" s="15"/>
      <c r="IOU2" s="15"/>
      <c r="IOV2" s="15"/>
      <c r="IOW2" s="15"/>
      <c r="IOX2" s="15"/>
      <c r="IOY2" s="15"/>
      <c r="IOZ2" s="15"/>
      <c r="IPA2" s="15"/>
      <c r="IPB2" s="15"/>
      <c r="IPC2" s="15"/>
      <c r="IPD2" s="15"/>
      <c r="IPE2" s="15"/>
      <c r="IPF2" s="15"/>
      <c r="IPG2" s="15"/>
      <c r="IPH2" s="15"/>
      <c r="IPI2" s="15"/>
      <c r="IPJ2" s="15"/>
      <c r="IPK2" s="15"/>
      <c r="IPL2" s="15"/>
      <c r="IPM2" s="15"/>
      <c r="IPN2" s="15"/>
      <c r="IPO2" s="15"/>
      <c r="IPP2" s="15"/>
      <c r="IPQ2" s="15"/>
      <c r="IPR2" s="15"/>
      <c r="IPS2" s="15"/>
      <c r="IPT2" s="15"/>
      <c r="IPU2" s="15"/>
      <c r="IPV2" s="15"/>
      <c r="IPW2" s="15"/>
      <c r="IPX2" s="15"/>
      <c r="IPY2" s="15"/>
      <c r="IPZ2" s="15"/>
      <c r="IQA2" s="15"/>
      <c r="IQB2" s="15"/>
      <c r="IQC2" s="15"/>
      <c r="IQD2" s="15"/>
      <c r="IQE2" s="15"/>
      <c r="IQF2" s="15"/>
      <c r="IQG2" s="15"/>
      <c r="IQH2" s="15"/>
      <c r="IQI2" s="15"/>
      <c r="IQJ2" s="15"/>
      <c r="IQK2" s="15"/>
      <c r="IQL2" s="15"/>
      <c r="IQM2" s="15"/>
      <c r="IQN2" s="15"/>
      <c r="IQO2" s="15"/>
      <c r="IQP2" s="15"/>
      <c r="IQQ2" s="15"/>
      <c r="IQR2" s="15"/>
      <c r="IQS2" s="15"/>
      <c r="IQT2" s="15"/>
      <c r="IQU2" s="15"/>
      <c r="IQV2" s="15"/>
      <c r="IQW2" s="15"/>
      <c r="IQX2" s="15"/>
      <c r="IQY2" s="15"/>
      <c r="IQZ2" s="15"/>
      <c r="IRA2" s="15"/>
      <c r="IRB2" s="15"/>
      <c r="IRC2" s="15"/>
      <c r="IRD2" s="15"/>
      <c r="IRE2" s="15"/>
      <c r="IRF2" s="15"/>
      <c r="IRG2" s="15"/>
      <c r="IRH2" s="15"/>
      <c r="IRI2" s="15"/>
      <c r="IRJ2" s="15"/>
      <c r="IRK2" s="15"/>
      <c r="IRL2" s="15"/>
      <c r="IRM2" s="15"/>
      <c r="IRN2" s="15"/>
      <c r="IRO2" s="15"/>
      <c r="IRP2" s="15"/>
      <c r="IRQ2" s="15"/>
      <c r="IRR2" s="15"/>
      <c r="IRS2" s="15"/>
      <c r="IRT2" s="15"/>
      <c r="IRU2" s="15"/>
      <c r="IRV2" s="15"/>
      <c r="IRW2" s="15"/>
      <c r="IRX2" s="15"/>
      <c r="IRY2" s="15"/>
      <c r="IRZ2" s="15"/>
      <c r="ISA2" s="15"/>
      <c r="ISB2" s="15"/>
      <c r="ISC2" s="15"/>
      <c r="ISD2" s="15"/>
      <c r="ISE2" s="15"/>
      <c r="ISF2" s="15"/>
      <c r="ISG2" s="15"/>
      <c r="ISH2" s="15"/>
      <c r="ISI2" s="15"/>
      <c r="ISJ2" s="15"/>
      <c r="ISK2" s="15"/>
      <c r="ISL2" s="15"/>
      <c r="ISM2" s="15"/>
      <c r="ISN2" s="15"/>
      <c r="ISO2" s="15"/>
      <c r="ISP2" s="15"/>
      <c r="ISQ2" s="15"/>
      <c r="ISR2" s="15"/>
      <c r="ISS2" s="15"/>
      <c r="IST2" s="15"/>
      <c r="ISU2" s="15"/>
      <c r="ISV2" s="15"/>
      <c r="ISW2" s="15"/>
      <c r="ISX2" s="15"/>
      <c r="ISY2" s="15"/>
      <c r="ISZ2" s="15"/>
      <c r="ITA2" s="15"/>
      <c r="ITB2" s="15"/>
      <c r="ITC2" s="15"/>
      <c r="ITD2" s="15"/>
      <c r="ITE2" s="15"/>
      <c r="ITF2" s="15"/>
      <c r="ITG2" s="15"/>
      <c r="ITH2" s="15"/>
      <c r="ITI2" s="15"/>
      <c r="ITJ2" s="15"/>
      <c r="ITK2" s="15"/>
      <c r="ITL2" s="15"/>
      <c r="ITM2" s="15"/>
      <c r="ITN2" s="15"/>
      <c r="ITO2" s="15"/>
      <c r="ITP2" s="15"/>
      <c r="ITQ2" s="15"/>
      <c r="ITR2" s="15"/>
      <c r="ITS2" s="15"/>
      <c r="ITT2" s="15"/>
      <c r="ITU2" s="15"/>
      <c r="ITV2" s="15"/>
      <c r="ITW2" s="15"/>
      <c r="ITX2" s="15"/>
      <c r="ITY2" s="15"/>
      <c r="ITZ2" s="15"/>
      <c r="IUA2" s="15"/>
      <c r="IUB2" s="15"/>
      <c r="IUC2" s="15"/>
      <c r="IUD2" s="15"/>
      <c r="IUE2" s="15"/>
      <c r="IUF2" s="15"/>
      <c r="IUG2" s="15"/>
      <c r="IUH2" s="15"/>
      <c r="IUI2" s="15"/>
      <c r="IUJ2" s="15"/>
      <c r="IUK2" s="15"/>
      <c r="IUL2" s="15"/>
      <c r="IUM2" s="15"/>
      <c r="IUN2" s="15"/>
      <c r="IUO2" s="15"/>
      <c r="IUP2" s="15"/>
      <c r="IUQ2" s="15"/>
      <c r="IUR2" s="15"/>
      <c r="IUS2" s="15"/>
      <c r="IUT2" s="15"/>
      <c r="IUU2" s="15"/>
      <c r="IUV2" s="15"/>
      <c r="IUW2" s="15"/>
      <c r="IUX2" s="15"/>
      <c r="IUY2" s="15"/>
      <c r="IUZ2" s="15"/>
      <c r="IVA2" s="15"/>
      <c r="IVB2" s="15"/>
      <c r="IVC2" s="15"/>
      <c r="IVD2" s="15"/>
      <c r="IVE2" s="15"/>
      <c r="IVF2" s="15"/>
      <c r="IVG2" s="15"/>
      <c r="IVH2" s="15"/>
      <c r="IVI2" s="15"/>
      <c r="IVJ2" s="15"/>
      <c r="IVK2" s="15"/>
      <c r="IVL2" s="15"/>
      <c r="IVM2" s="15"/>
      <c r="IVN2" s="15"/>
      <c r="IVO2" s="15"/>
      <c r="IVP2" s="15"/>
      <c r="IVQ2" s="15"/>
      <c r="IVR2" s="15"/>
      <c r="IVS2" s="15"/>
      <c r="IVT2" s="15"/>
      <c r="IVU2" s="15"/>
      <c r="IVV2" s="15"/>
      <c r="IVW2" s="15"/>
      <c r="IVX2" s="15"/>
      <c r="IVY2" s="15"/>
      <c r="IVZ2" s="15"/>
      <c r="IWA2" s="15"/>
      <c r="IWB2" s="15"/>
      <c r="IWC2" s="15"/>
      <c r="IWD2" s="15"/>
      <c r="IWE2" s="15"/>
      <c r="IWF2" s="15"/>
      <c r="IWG2" s="15"/>
      <c r="IWH2" s="15"/>
      <c r="IWI2" s="15"/>
      <c r="IWJ2" s="15"/>
      <c r="IWK2" s="15"/>
      <c r="IWL2" s="15"/>
      <c r="IWM2" s="15"/>
      <c r="IWN2" s="15"/>
      <c r="IWO2" s="15"/>
      <c r="IWP2" s="15"/>
      <c r="IWQ2" s="15"/>
      <c r="IWR2" s="15"/>
      <c r="IWS2" s="15"/>
      <c r="IWT2" s="15"/>
      <c r="IWU2" s="15"/>
      <c r="IWV2" s="15"/>
      <c r="IWW2" s="15"/>
      <c r="IWX2" s="15"/>
      <c r="IWY2" s="15"/>
      <c r="IWZ2" s="15"/>
      <c r="IXA2" s="15"/>
      <c r="IXB2" s="15"/>
      <c r="IXC2" s="15"/>
      <c r="IXD2" s="15"/>
      <c r="IXE2" s="15"/>
      <c r="IXF2" s="15"/>
      <c r="IXG2" s="15"/>
      <c r="IXH2" s="15"/>
      <c r="IXI2" s="15"/>
      <c r="IXJ2" s="15"/>
      <c r="IXK2" s="15"/>
      <c r="IXL2" s="15"/>
      <c r="IXM2" s="15"/>
      <c r="IXN2" s="15"/>
      <c r="IXO2" s="15"/>
      <c r="IXP2" s="15"/>
      <c r="IXQ2" s="15"/>
      <c r="IXR2" s="15"/>
      <c r="IXS2" s="15"/>
      <c r="IXT2" s="15"/>
      <c r="IXU2" s="15"/>
      <c r="IXV2" s="15"/>
      <c r="IXW2" s="15"/>
      <c r="IXX2" s="15"/>
      <c r="IXY2" s="15"/>
      <c r="IXZ2" s="15"/>
      <c r="IYA2" s="15"/>
      <c r="IYB2" s="15"/>
      <c r="IYC2" s="15"/>
      <c r="IYD2" s="15"/>
      <c r="IYE2" s="15"/>
      <c r="IYF2" s="15"/>
      <c r="IYG2" s="15"/>
      <c r="IYH2" s="15"/>
      <c r="IYI2" s="15"/>
      <c r="IYJ2" s="15"/>
      <c r="IYK2" s="15"/>
      <c r="IYL2" s="15"/>
      <c r="IYM2" s="15"/>
      <c r="IYN2" s="15"/>
      <c r="IYO2" s="15"/>
      <c r="IYP2" s="15"/>
      <c r="IYQ2" s="15"/>
      <c r="IYR2" s="15"/>
      <c r="IYS2" s="15"/>
      <c r="IYT2" s="15"/>
      <c r="IYU2" s="15"/>
      <c r="IYV2" s="15"/>
      <c r="IYW2" s="15"/>
      <c r="IYX2" s="15"/>
      <c r="IYY2" s="15"/>
      <c r="IYZ2" s="15"/>
      <c r="IZA2" s="15"/>
      <c r="IZB2" s="15"/>
      <c r="IZC2" s="15"/>
      <c r="IZD2" s="15"/>
      <c r="IZE2" s="15"/>
      <c r="IZF2" s="15"/>
      <c r="IZG2" s="15"/>
      <c r="IZH2" s="15"/>
      <c r="IZI2" s="15"/>
      <c r="IZJ2" s="15"/>
      <c r="IZK2" s="15"/>
      <c r="IZL2" s="15"/>
      <c r="IZM2" s="15"/>
      <c r="IZN2" s="15"/>
      <c r="IZO2" s="15"/>
      <c r="IZP2" s="15"/>
      <c r="IZQ2" s="15"/>
      <c r="IZR2" s="15"/>
      <c r="IZS2" s="15"/>
      <c r="IZT2" s="15"/>
      <c r="IZU2" s="15"/>
      <c r="IZV2" s="15"/>
      <c r="IZW2" s="15"/>
      <c r="IZX2" s="15"/>
      <c r="IZY2" s="15"/>
      <c r="IZZ2" s="15"/>
      <c r="JAA2" s="15"/>
      <c r="JAB2" s="15"/>
      <c r="JAC2" s="15"/>
      <c r="JAD2" s="15"/>
      <c r="JAE2" s="15"/>
      <c r="JAF2" s="15"/>
      <c r="JAG2" s="15"/>
      <c r="JAH2" s="15"/>
      <c r="JAI2" s="15"/>
      <c r="JAJ2" s="15"/>
      <c r="JAK2" s="15"/>
      <c r="JAL2" s="15"/>
      <c r="JAM2" s="15"/>
      <c r="JAN2" s="15"/>
      <c r="JAO2" s="15"/>
      <c r="JAP2" s="15"/>
      <c r="JAQ2" s="15"/>
      <c r="JAR2" s="15"/>
      <c r="JAS2" s="15"/>
      <c r="JAT2" s="15"/>
      <c r="JAU2" s="15"/>
      <c r="JAV2" s="15"/>
      <c r="JAW2" s="15"/>
      <c r="JAX2" s="15"/>
      <c r="JAY2" s="15"/>
      <c r="JAZ2" s="15"/>
      <c r="JBA2" s="15"/>
      <c r="JBB2" s="15"/>
      <c r="JBC2" s="15"/>
      <c r="JBD2" s="15"/>
      <c r="JBE2" s="15"/>
      <c r="JBF2" s="15"/>
      <c r="JBG2" s="15"/>
      <c r="JBH2" s="15"/>
      <c r="JBI2" s="15"/>
      <c r="JBJ2" s="15"/>
      <c r="JBK2" s="15"/>
      <c r="JBL2" s="15"/>
      <c r="JBM2" s="15"/>
      <c r="JBN2" s="15"/>
      <c r="JBO2" s="15"/>
      <c r="JBP2" s="15"/>
      <c r="JBQ2" s="15"/>
      <c r="JBR2" s="15"/>
      <c r="JBS2" s="15"/>
      <c r="JBT2" s="15"/>
      <c r="JBU2" s="15"/>
      <c r="JBV2" s="15"/>
      <c r="JBW2" s="15"/>
      <c r="JBX2" s="15"/>
      <c r="JBY2" s="15"/>
      <c r="JBZ2" s="15"/>
      <c r="JCA2" s="15"/>
      <c r="JCB2" s="15"/>
      <c r="JCC2" s="15"/>
      <c r="JCD2" s="15"/>
      <c r="JCE2" s="15"/>
      <c r="JCF2" s="15"/>
      <c r="JCG2" s="15"/>
      <c r="JCH2" s="15"/>
      <c r="JCI2" s="15"/>
      <c r="JCJ2" s="15"/>
      <c r="JCK2" s="15"/>
      <c r="JCL2" s="15"/>
      <c r="JCM2" s="15"/>
      <c r="JCN2" s="15"/>
      <c r="JCO2" s="15"/>
      <c r="JCP2" s="15"/>
      <c r="JCQ2" s="15"/>
      <c r="JCR2" s="15"/>
      <c r="JCS2" s="15"/>
      <c r="JCT2" s="15"/>
      <c r="JCU2" s="15"/>
      <c r="JCV2" s="15"/>
      <c r="JCW2" s="15"/>
      <c r="JCX2" s="15"/>
      <c r="JCY2" s="15"/>
      <c r="JCZ2" s="15"/>
      <c r="JDA2" s="15"/>
      <c r="JDB2" s="15"/>
      <c r="JDC2" s="15"/>
      <c r="JDD2" s="15"/>
      <c r="JDE2" s="15"/>
      <c r="JDF2" s="15"/>
      <c r="JDG2" s="15"/>
      <c r="JDH2" s="15"/>
      <c r="JDI2" s="15"/>
      <c r="JDJ2" s="15"/>
      <c r="JDK2" s="15"/>
      <c r="JDL2" s="15"/>
      <c r="JDM2" s="15"/>
      <c r="JDN2" s="15"/>
      <c r="JDO2" s="15"/>
      <c r="JDP2" s="15"/>
      <c r="JDQ2" s="15"/>
      <c r="JDR2" s="15"/>
      <c r="JDS2" s="15"/>
      <c r="JDT2" s="15"/>
      <c r="JDU2" s="15"/>
      <c r="JDV2" s="15"/>
      <c r="JDW2" s="15"/>
      <c r="JDX2" s="15"/>
      <c r="JDY2" s="15"/>
      <c r="JDZ2" s="15"/>
      <c r="JEA2" s="15"/>
      <c r="JEB2" s="15"/>
      <c r="JEC2" s="15"/>
      <c r="JED2" s="15"/>
      <c r="JEE2" s="15"/>
      <c r="JEF2" s="15"/>
      <c r="JEG2" s="15"/>
      <c r="JEH2" s="15"/>
      <c r="JEI2" s="15"/>
      <c r="JEJ2" s="15"/>
      <c r="JEK2" s="15"/>
      <c r="JEL2" s="15"/>
      <c r="JEM2" s="15"/>
      <c r="JEN2" s="15"/>
      <c r="JEO2" s="15"/>
      <c r="JEP2" s="15"/>
      <c r="JEQ2" s="15"/>
      <c r="JER2" s="15"/>
      <c r="JES2" s="15"/>
      <c r="JET2" s="15"/>
      <c r="JEU2" s="15"/>
      <c r="JEV2" s="15"/>
      <c r="JEW2" s="15"/>
      <c r="JEX2" s="15"/>
      <c r="JEY2" s="15"/>
      <c r="JEZ2" s="15"/>
      <c r="JFA2" s="15"/>
      <c r="JFB2" s="15"/>
      <c r="JFC2" s="15"/>
      <c r="JFD2" s="15"/>
      <c r="JFE2" s="15"/>
      <c r="JFF2" s="15"/>
      <c r="JFG2" s="15"/>
      <c r="JFH2" s="15"/>
      <c r="JFI2" s="15"/>
      <c r="JFJ2" s="15"/>
      <c r="JFK2" s="15"/>
      <c r="JFL2" s="15"/>
      <c r="JFM2" s="15"/>
      <c r="JFN2" s="15"/>
      <c r="JFO2" s="15"/>
      <c r="JFP2" s="15"/>
      <c r="JFQ2" s="15"/>
      <c r="JFR2" s="15"/>
      <c r="JFS2" s="15"/>
      <c r="JFT2" s="15"/>
      <c r="JFU2" s="15"/>
      <c r="JFV2" s="15"/>
      <c r="JFW2" s="15"/>
      <c r="JFX2" s="15"/>
      <c r="JFY2" s="15"/>
      <c r="JFZ2" s="15"/>
      <c r="JGA2" s="15"/>
      <c r="JGB2" s="15"/>
      <c r="JGC2" s="15"/>
      <c r="JGD2" s="15"/>
      <c r="JGE2" s="15"/>
      <c r="JGF2" s="15"/>
      <c r="JGG2" s="15"/>
      <c r="JGH2" s="15"/>
      <c r="JGI2" s="15"/>
      <c r="JGJ2" s="15"/>
      <c r="JGK2" s="15"/>
      <c r="JGL2" s="15"/>
      <c r="JGM2" s="15"/>
      <c r="JGN2" s="15"/>
      <c r="JGO2" s="15"/>
      <c r="JGP2" s="15"/>
      <c r="JGQ2" s="15"/>
      <c r="JGR2" s="15"/>
      <c r="JGS2" s="15"/>
      <c r="JGT2" s="15"/>
      <c r="JGU2" s="15"/>
      <c r="JGV2" s="15"/>
      <c r="JGW2" s="15"/>
      <c r="JGX2" s="15"/>
      <c r="JGY2" s="15"/>
      <c r="JGZ2" s="15"/>
      <c r="JHA2" s="15"/>
      <c r="JHB2" s="15"/>
      <c r="JHC2" s="15"/>
      <c r="JHD2" s="15"/>
      <c r="JHE2" s="15"/>
      <c r="JHF2" s="15"/>
      <c r="JHG2" s="15"/>
      <c r="JHH2" s="15"/>
      <c r="JHI2" s="15"/>
      <c r="JHJ2" s="15"/>
      <c r="JHK2" s="15"/>
      <c r="JHL2" s="15"/>
      <c r="JHM2" s="15"/>
      <c r="JHN2" s="15"/>
      <c r="JHO2" s="15"/>
      <c r="JHP2" s="15"/>
      <c r="JHQ2" s="15"/>
      <c r="JHR2" s="15"/>
      <c r="JHS2" s="15"/>
      <c r="JHT2" s="15"/>
      <c r="JHU2" s="15"/>
      <c r="JHV2" s="15"/>
      <c r="JHW2" s="15"/>
      <c r="JHX2" s="15"/>
      <c r="JHY2" s="15"/>
      <c r="JHZ2" s="15"/>
      <c r="JIA2" s="15"/>
      <c r="JIB2" s="15"/>
      <c r="JIC2" s="15"/>
      <c r="JID2" s="15"/>
      <c r="JIE2" s="15"/>
      <c r="JIF2" s="15"/>
      <c r="JIG2" s="15"/>
      <c r="JIH2" s="15"/>
      <c r="JII2" s="15"/>
      <c r="JIJ2" s="15"/>
      <c r="JIK2" s="15"/>
      <c r="JIL2" s="15"/>
      <c r="JIM2" s="15"/>
      <c r="JIN2" s="15"/>
      <c r="JIO2" s="15"/>
      <c r="JIP2" s="15"/>
      <c r="JIQ2" s="15"/>
      <c r="JIR2" s="15"/>
      <c r="JIS2" s="15"/>
      <c r="JIT2" s="15"/>
      <c r="JIU2" s="15"/>
      <c r="JIV2" s="15"/>
      <c r="JIW2" s="15"/>
      <c r="JIX2" s="15"/>
      <c r="JIY2" s="15"/>
      <c r="JIZ2" s="15"/>
      <c r="JJA2" s="15"/>
      <c r="JJB2" s="15"/>
      <c r="JJC2" s="15"/>
      <c r="JJD2" s="15"/>
      <c r="JJE2" s="15"/>
      <c r="JJF2" s="15"/>
      <c r="JJG2" s="15"/>
      <c r="JJH2" s="15"/>
      <c r="JJI2" s="15"/>
      <c r="JJJ2" s="15"/>
      <c r="JJK2" s="15"/>
      <c r="JJL2" s="15"/>
      <c r="JJM2" s="15"/>
      <c r="JJN2" s="15"/>
      <c r="JJO2" s="15"/>
      <c r="JJP2" s="15"/>
      <c r="JJQ2" s="15"/>
      <c r="JJR2" s="15"/>
      <c r="JJS2" s="15"/>
      <c r="JJT2" s="15"/>
      <c r="JJU2" s="15"/>
      <c r="JJV2" s="15"/>
      <c r="JJW2" s="15"/>
      <c r="JJX2" s="15"/>
      <c r="JJY2" s="15"/>
      <c r="JJZ2" s="15"/>
      <c r="JKA2" s="15"/>
      <c r="JKB2" s="15"/>
      <c r="JKC2" s="15"/>
      <c r="JKD2" s="15"/>
      <c r="JKE2" s="15"/>
      <c r="JKF2" s="15"/>
      <c r="JKG2" s="15"/>
      <c r="JKH2" s="15"/>
      <c r="JKI2" s="15"/>
      <c r="JKJ2" s="15"/>
      <c r="JKK2" s="15"/>
      <c r="JKL2" s="15"/>
      <c r="JKM2" s="15"/>
      <c r="JKN2" s="15"/>
      <c r="JKO2" s="15"/>
      <c r="JKP2" s="15"/>
      <c r="JKQ2" s="15"/>
      <c r="JKR2" s="15"/>
      <c r="JKS2" s="15"/>
      <c r="JKT2" s="15"/>
      <c r="JKU2" s="15"/>
      <c r="JKV2" s="15"/>
      <c r="JKW2" s="15"/>
      <c r="JKX2" s="15"/>
      <c r="JKY2" s="15"/>
      <c r="JKZ2" s="15"/>
      <c r="JLA2" s="15"/>
      <c r="JLB2" s="15"/>
      <c r="JLC2" s="15"/>
      <c r="JLD2" s="15"/>
      <c r="JLE2" s="15"/>
      <c r="JLF2" s="15"/>
      <c r="JLG2" s="15"/>
      <c r="JLH2" s="15"/>
      <c r="JLI2" s="15"/>
      <c r="JLJ2" s="15"/>
      <c r="JLK2" s="15"/>
      <c r="JLL2" s="15"/>
      <c r="JLM2" s="15"/>
      <c r="JLN2" s="15"/>
      <c r="JLO2" s="15"/>
      <c r="JLP2" s="15"/>
      <c r="JLQ2" s="15"/>
      <c r="JLR2" s="15"/>
      <c r="JLS2" s="15"/>
      <c r="JLT2" s="15"/>
      <c r="JLU2" s="15"/>
      <c r="JLV2" s="15"/>
      <c r="JLW2" s="15"/>
      <c r="JLX2" s="15"/>
      <c r="JLY2" s="15"/>
      <c r="JLZ2" s="15"/>
      <c r="JMA2" s="15"/>
      <c r="JMB2" s="15"/>
      <c r="JMC2" s="15"/>
      <c r="JMD2" s="15"/>
      <c r="JME2" s="15"/>
      <c r="JMF2" s="15"/>
      <c r="JMG2" s="15"/>
      <c r="JMH2" s="15"/>
      <c r="JMI2" s="15"/>
      <c r="JMJ2" s="15"/>
      <c r="JMK2" s="15"/>
      <c r="JML2" s="15"/>
      <c r="JMM2" s="15"/>
      <c r="JMN2" s="15"/>
      <c r="JMO2" s="15"/>
      <c r="JMP2" s="15"/>
      <c r="JMQ2" s="15"/>
      <c r="JMR2" s="15"/>
      <c r="JMS2" s="15"/>
      <c r="JMT2" s="15"/>
      <c r="JMU2" s="15"/>
      <c r="JMV2" s="15"/>
      <c r="JMW2" s="15"/>
      <c r="JMX2" s="15"/>
      <c r="JMY2" s="15"/>
      <c r="JMZ2" s="15"/>
      <c r="JNA2" s="15"/>
      <c r="JNB2" s="15"/>
      <c r="JNC2" s="15"/>
      <c r="JND2" s="15"/>
      <c r="JNE2" s="15"/>
      <c r="JNF2" s="15"/>
      <c r="JNG2" s="15"/>
      <c r="JNH2" s="15"/>
      <c r="JNI2" s="15"/>
      <c r="JNJ2" s="15"/>
      <c r="JNK2" s="15"/>
      <c r="JNL2" s="15"/>
      <c r="JNM2" s="15"/>
      <c r="JNN2" s="15"/>
      <c r="JNO2" s="15"/>
      <c r="JNP2" s="15"/>
      <c r="JNQ2" s="15"/>
      <c r="JNR2" s="15"/>
      <c r="JNS2" s="15"/>
      <c r="JNT2" s="15"/>
      <c r="JNU2" s="15"/>
      <c r="JNV2" s="15"/>
      <c r="JNW2" s="15"/>
      <c r="JNX2" s="15"/>
      <c r="JNY2" s="15"/>
      <c r="JNZ2" s="15"/>
      <c r="JOA2" s="15"/>
      <c r="JOB2" s="15"/>
      <c r="JOC2" s="15"/>
      <c r="JOD2" s="15"/>
      <c r="JOE2" s="15"/>
      <c r="JOF2" s="15"/>
      <c r="JOG2" s="15"/>
      <c r="JOH2" s="15"/>
      <c r="JOI2" s="15"/>
      <c r="JOJ2" s="15"/>
      <c r="JOK2" s="15"/>
      <c r="JOL2" s="15"/>
      <c r="JOM2" s="15"/>
      <c r="JON2" s="15"/>
      <c r="JOO2" s="15"/>
      <c r="JOP2" s="15"/>
      <c r="JOQ2" s="15"/>
      <c r="JOR2" s="15"/>
      <c r="JOS2" s="15"/>
      <c r="JOT2" s="15"/>
      <c r="JOU2" s="15"/>
      <c r="JOV2" s="15"/>
      <c r="JOW2" s="15"/>
      <c r="JOX2" s="15"/>
      <c r="JOY2" s="15"/>
      <c r="JOZ2" s="15"/>
      <c r="JPA2" s="15"/>
      <c r="JPB2" s="15"/>
      <c r="JPC2" s="15"/>
      <c r="JPD2" s="15"/>
      <c r="JPE2" s="15"/>
      <c r="JPF2" s="15"/>
      <c r="JPG2" s="15"/>
      <c r="JPH2" s="15"/>
      <c r="JPI2" s="15"/>
      <c r="JPJ2" s="15"/>
      <c r="JPK2" s="15"/>
      <c r="JPL2" s="15"/>
      <c r="JPM2" s="15"/>
      <c r="JPN2" s="15"/>
      <c r="JPO2" s="15"/>
      <c r="JPP2" s="15"/>
      <c r="JPQ2" s="15"/>
      <c r="JPR2" s="15"/>
      <c r="JPS2" s="15"/>
      <c r="JPT2" s="15"/>
      <c r="JPU2" s="15"/>
      <c r="JPV2" s="15"/>
      <c r="JPW2" s="15"/>
      <c r="JPX2" s="15"/>
      <c r="JPY2" s="15"/>
      <c r="JPZ2" s="15"/>
      <c r="JQA2" s="15"/>
      <c r="JQB2" s="15"/>
      <c r="JQC2" s="15"/>
      <c r="JQD2" s="15"/>
      <c r="JQE2" s="15"/>
      <c r="JQF2" s="15"/>
      <c r="JQG2" s="15"/>
      <c r="JQH2" s="15"/>
      <c r="JQI2" s="15"/>
      <c r="JQJ2" s="15"/>
      <c r="JQK2" s="15"/>
      <c r="JQL2" s="15"/>
      <c r="JQM2" s="15"/>
      <c r="JQN2" s="15"/>
      <c r="JQO2" s="15"/>
      <c r="JQP2" s="15"/>
      <c r="JQQ2" s="15"/>
      <c r="JQR2" s="15"/>
      <c r="JQS2" s="15"/>
      <c r="JQT2" s="15"/>
      <c r="JQU2" s="15"/>
      <c r="JQV2" s="15"/>
      <c r="JQW2" s="15"/>
      <c r="JQX2" s="15"/>
      <c r="JQY2" s="15"/>
      <c r="JQZ2" s="15"/>
      <c r="JRA2" s="15"/>
      <c r="JRB2" s="15"/>
      <c r="JRC2" s="15"/>
      <c r="JRD2" s="15"/>
      <c r="JRE2" s="15"/>
      <c r="JRF2" s="15"/>
      <c r="JRG2" s="15"/>
      <c r="JRH2" s="15"/>
      <c r="JRI2" s="15"/>
      <c r="JRJ2" s="15"/>
      <c r="JRK2" s="15"/>
      <c r="JRL2" s="15"/>
      <c r="JRM2" s="15"/>
      <c r="JRN2" s="15"/>
      <c r="JRO2" s="15"/>
      <c r="JRP2" s="15"/>
      <c r="JRQ2" s="15"/>
      <c r="JRR2" s="15"/>
      <c r="JRS2" s="15"/>
      <c r="JRT2" s="15"/>
      <c r="JRU2" s="15"/>
      <c r="JRV2" s="15"/>
      <c r="JRW2" s="15"/>
      <c r="JRX2" s="15"/>
      <c r="JRY2" s="15"/>
      <c r="JRZ2" s="15"/>
      <c r="JSA2" s="15"/>
      <c r="JSB2" s="15"/>
      <c r="JSC2" s="15"/>
      <c r="JSD2" s="15"/>
      <c r="JSE2" s="15"/>
      <c r="JSF2" s="15"/>
      <c r="JSG2" s="15"/>
      <c r="JSH2" s="15"/>
      <c r="JSI2" s="15"/>
      <c r="JSJ2" s="15"/>
      <c r="JSK2" s="15"/>
      <c r="JSL2" s="15"/>
      <c r="JSM2" s="15"/>
      <c r="JSN2" s="15"/>
      <c r="JSO2" s="15"/>
      <c r="JSP2" s="15"/>
      <c r="JSQ2" s="15"/>
      <c r="JSR2" s="15"/>
      <c r="JSS2" s="15"/>
      <c r="JST2" s="15"/>
      <c r="JSU2" s="15"/>
      <c r="JSV2" s="15"/>
      <c r="JSW2" s="15"/>
      <c r="JSX2" s="15"/>
      <c r="JSY2" s="15"/>
      <c r="JSZ2" s="15"/>
      <c r="JTA2" s="15"/>
      <c r="JTB2" s="15"/>
      <c r="JTC2" s="15"/>
      <c r="JTD2" s="15"/>
      <c r="JTE2" s="15"/>
      <c r="JTF2" s="15"/>
      <c r="JTG2" s="15"/>
      <c r="JTH2" s="15"/>
      <c r="JTI2" s="15"/>
      <c r="JTJ2" s="15"/>
      <c r="JTK2" s="15"/>
      <c r="JTL2" s="15"/>
      <c r="JTM2" s="15"/>
      <c r="JTN2" s="15"/>
      <c r="JTO2" s="15"/>
      <c r="JTP2" s="15"/>
      <c r="JTQ2" s="15"/>
      <c r="JTR2" s="15"/>
      <c r="JTS2" s="15"/>
      <c r="JTT2" s="15"/>
      <c r="JTU2" s="15"/>
      <c r="JTV2" s="15"/>
      <c r="JTW2" s="15"/>
      <c r="JTX2" s="15"/>
      <c r="JTY2" s="15"/>
      <c r="JTZ2" s="15"/>
      <c r="JUA2" s="15"/>
      <c r="JUB2" s="15"/>
      <c r="JUC2" s="15"/>
      <c r="JUD2" s="15"/>
      <c r="JUE2" s="15"/>
      <c r="JUF2" s="15"/>
      <c r="JUG2" s="15"/>
      <c r="JUH2" s="15"/>
      <c r="JUI2" s="15"/>
      <c r="JUJ2" s="15"/>
      <c r="JUK2" s="15"/>
      <c r="JUL2" s="15"/>
      <c r="JUM2" s="15"/>
      <c r="JUN2" s="15"/>
      <c r="JUO2" s="15"/>
      <c r="JUP2" s="15"/>
      <c r="JUQ2" s="15"/>
      <c r="JUR2" s="15"/>
      <c r="JUS2" s="15"/>
      <c r="JUT2" s="15"/>
      <c r="JUU2" s="15"/>
      <c r="JUV2" s="15"/>
      <c r="JUW2" s="15"/>
      <c r="JUX2" s="15"/>
      <c r="JUY2" s="15"/>
      <c r="JUZ2" s="15"/>
      <c r="JVA2" s="15"/>
      <c r="JVB2" s="15"/>
      <c r="JVC2" s="15"/>
      <c r="JVD2" s="15"/>
      <c r="JVE2" s="15"/>
      <c r="JVF2" s="15"/>
      <c r="JVG2" s="15"/>
      <c r="JVH2" s="15"/>
      <c r="JVI2" s="15"/>
      <c r="JVJ2" s="15"/>
      <c r="JVK2" s="15"/>
      <c r="JVL2" s="15"/>
      <c r="JVM2" s="15"/>
      <c r="JVN2" s="15"/>
      <c r="JVO2" s="15"/>
      <c r="JVP2" s="15"/>
      <c r="JVQ2" s="15"/>
      <c r="JVR2" s="15"/>
      <c r="JVS2" s="15"/>
      <c r="JVT2" s="15"/>
      <c r="JVU2" s="15"/>
      <c r="JVV2" s="15"/>
      <c r="JVW2" s="15"/>
      <c r="JVX2" s="15"/>
      <c r="JVY2" s="15"/>
      <c r="JVZ2" s="15"/>
      <c r="JWA2" s="15"/>
      <c r="JWB2" s="15"/>
      <c r="JWC2" s="15"/>
      <c r="JWD2" s="15"/>
      <c r="JWE2" s="15"/>
      <c r="JWF2" s="15"/>
      <c r="JWG2" s="15"/>
      <c r="JWH2" s="15"/>
      <c r="JWI2" s="15"/>
      <c r="JWJ2" s="15"/>
      <c r="JWK2" s="15"/>
      <c r="JWL2" s="15"/>
      <c r="JWM2" s="15"/>
      <c r="JWN2" s="15"/>
      <c r="JWO2" s="15"/>
      <c r="JWP2" s="15"/>
      <c r="JWQ2" s="15"/>
      <c r="JWR2" s="15"/>
      <c r="JWS2" s="15"/>
      <c r="JWT2" s="15"/>
      <c r="JWU2" s="15"/>
      <c r="JWV2" s="15"/>
      <c r="JWW2" s="15"/>
      <c r="JWX2" s="15"/>
      <c r="JWY2" s="15"/>
      <c r="JWZ2" s="15"/>
      <c r="JXA2" s="15"/>
      <c r="JXB2" s="15"/>
      <c r="JXC2" s="15"/>
      <c r="JXD2" s="15"/>
      <c r="JXE2" s="15"/>
      <c r="JXF2" s="15"/>
      <c r="JXG2" s="15"/>
      <c r="JXH2" s="15"/>
      <c r="JXI2" s="15"/>
      <c r="JXJ2" s="15"/>
      <c r="JXK2" s="15"/>
      <c r="JXL2" s="15"/>
      <c r="JXM2" s="15"/>
      <c r="JXN2" s="15"/>
      <c r="JXO2" s="15"/>
      <c r="JXP2" s="15"/>
      <c r="JXQ2" s="15"/>
      <c r="JXR2" s="15"/>
      <c r="JXS2" s="15"/>
      <c r="JXT2" s="15"/>
      <c r="JXU2" s="15"/>
      <c r="JXV2" s="15"/>
      <c r="JXW2" s="15"/>
      <c r="JXX2" s="15"/>
      <c r="JXY2" s="15"/>
      <c r="JXZ2" s="15"/>
      <c r="JYA2" s="15"/>
      <c r="JYB2" s="15"/>
      <c r="JYC2" s="15"/>
      <c r="JYD2" s="15"/>
      <c r="JYE2" s="15"/>
      <c r="JYF2" s="15"/>
      <c r="JYG2" s="15"/>
      <c r="JYH2" s="15"/>
      <c r="JYI2" s="15"/>
      <c r="JYJ2" s="15"/>
      <c r="JYK2" s="15"/>
      <c r="JYL2" s="15"/>
      <c r="JYM2" s="15"/>
      <c r="JYN2" s="15"/>
      <c r="JYO2" s="15"/>
      <c r="JYP2" s="15"/>
      <c r="JYQ2" s="15"/>
      <c r="JYR2" s="15"/>
      <c r="JYS2" s="15"/>
      <c r="JYT2" s="15"/>
      <c r="JYU2" s="15"/>
      <c r="JYV2" s="15"/>
      <c r="JYW2" s="15"/>
      <c r="JYX2" s="15"/>
      <c r="JYY2" s="15"/>
      <c r="JYZ2" s="15"/>
      <c r="JZA2" s="15"/>
      <c r="JZB2" s="15"/>
      <c r="JZC2" s="15"/>
      <c r="JZD2" s="15"/>
      <c r="JZE2" s="15"/>
      <c r="JZF2" s="15"/>
      <c r="JZG2" s="15"/>
      <c r="JZH2" s="15"/>
      <c r="JZI2" s="15"/>
      <c r="JZJ2" s="15"/>
      <c r="JZK2" s="15"/>
      <c r="JZL2" s="15"/>
      <c r="JZM2" s="15"/>
      <c r="JZN2" s="15"/>
      <c r="JZO2" s="15"/>
      <c r="JZP2" s="15"/>
      <c r="JZQ2" s="15"/>
      <c r="JZR2" s="15"/>
      <c r="JZS2" s="15"/>
      <c r="JZT2" s="15"/>
      <c r="JZU2" s="15"/>
      <c r="JZV2" s="15"/>
      <c r="JZW2" s="15"/>
      <c r="JZX2" s="15"/>
      <c r="JZY2" s="15"/>
      <c r="JZZ2" s="15"/>
      <c r="KAA2" s="15"/>
      <c r="KAB2" s="15"/>
      <c r="KAC2" s="15"/>
      <c r="KAD2" s="15"/>
      <c r="KAE2" s="15"/>
      <c r="KAF2" s="15"/>
      <c r="KAG2" s="15"/>
      <c r="KAH2" s="15"/>
      <c r="KAI2" s="15"/>
      <c r="KAJ2" s="15"/>
      <c r="KAK2" s="15"/>
      <c r="KAL2" s="15"/>
      <c r="KAM2" s="15"/>
      <c r="KAN2" s="15"/>
      <c r="KAO2" s="15"/>
      <c r="KAP2" s="15"/>
      <c r="KAQ2" s="15"/>
      <c r="KAR2" s="15"/>
      <c r="KAS2" s="15"/>
      <c r="KAT2" s="15"/>
      <c r="KAU2" s="15"/>
      <c r="KAV2" s="15"/>
      <c r="KAW2" s="15"/>
      <c r="KAX2" s="15"/>
      <c r="KAY2" s="15"/>
      <c r="KAZ2" s="15"/>
      <c r="KBA2" s="15"/>
      <c r="KBB2" s="15"/>
      <c r="KBC2" s="15"/>
      <c r="KBD2" s="15"/>
      <c r="KBE2" s="15"/>
      <c r="KBF2" s="15"/>
      <c r="KBG2" s="15"/>
      <c r="KBH2" s="15"/>
      <c r="KBI2" s="15"/>
      <c r="KBJ2" s="15"/>
      <c r="KBK2" s="15"/>
      <c r="KBL2" s="15"/>
      <c r="KBM2" s="15"/>
      <c r="KBN2" s="15"/>
      <c r="KBO2" s="15"/>
      <c r="KBP2" s="15"/>
      <c r="KBQ2" s="15"/>
      <c r="KBR2" s="15"/>
      <c r="KBS2" s="15"/>
      <c r="KBT2" s="15"/>
      <c r="KBU2" s="15"/>
      <c r="KBV2" s="15"/>
      <c r="KBW2" s="15"/>
      <c r="KBX2" s="15"/>
      <c r="KBY2" s="15"/>
      <c r="KBZ2" s="15"/>
      <c r="KCA2" s="15"/>
      <c r="KCB2" s="15"/>
      <c r="KCC2" s="15"/>
      <c r="KCD2" s="15"/>
      <c r="KCE2" s="15"/>
      <c r="KCF2" s="15"/>
      <c r="KCG2" s="15"/>
      <c r="KCH2" s="15"/>
      <c r="KCI2" s="15"/>
      <c r="KCJ2" s="15"/>
      <c r="KCK2" s="15"/>
      <c r="KCL2" s="15"/>
      <c r="KCM2" s="15"/>
      <c r="KCN2" s="15"/>
      <c r="KCO2" s="15"/>
      <c r="KCP2" s="15"/>
      <c r="KCQ2" s="15"/>
      <c r="KCR2" s="15"/>
      <c r="KCS2" s="15"/>
      <c r="KCT2" s="15"/>
      <c r="KCU2" s="15"/>
      <c r="KCV2" s="15"/>
      <c r="KCW2" s="15"/>
      <c r="KCX2" s="15"/>
      <c r="KCY2" s="15"/>
      <c r="KCZ2" s="15"/>
      <c r="KDA2" s="15"/>
      <c r="KDB2" s="15"/>
      <c r="KDC2" s="15"/>
      <c r="KDD2" s="15"/>
      <c r="KDE2" s="15"/>
      <c r="KDF2" s="15"/>
      <c r="KDG2" s="15"/>
      <c r="KDH2" s="15"/>
      <c r="KDI2" s="15"/>
      <c r="KDJ2" s="15"/>
      <c r="KDK2" s="15"/>
      <c r="KDL2" s="15"/>
      <c r="KDM2" s="15"/>
      <c r="KDN2" s="15"/>
      <c r="KDO2" s="15"/>
      <c r="KDP2" s="15"/>
      <c r="KDQ2" s="15"/>
      <c r="KDR2" s="15"/>
      <c r="KDS2" s="15"/>
      <c r="KDT2" s="15"/>
      <c r="KDU2" s="15"/>
      <c r="KDV2" s="15"/>
      <c r="KDW2" s="15"/>
      <c r="KDX2" s="15"/>
      <c r="KDY2" s="15"/>
      <c r="KDZ2" s="15"/>
      <c r="KEA2" s="15"/>
      <c r="KEB2" s="15"/>
      <c r="KEC2" s="15"/>
      <c r="KED2" s="15"/>
      <c r="KEE2" s="15"/>
      <c r="KEF2" s="15"/>
      <c r="KEG2" s="15"/>
      <c r="KEH2" s="15"/>
      <c r="KEI2" s="15"/>
      <c r="KEJ2" s="15"/>
      <c r="KEK2" s="15"/>
      <c r="KEL2" s="15"/>
      <c r="KEM2" s="15"/>
      <c r="KEN2" s="15"/>
      <c r="KEO2" s="15"/>
      <c r="KEP2" s="15"/>
      <c r="KEQ2" s="15"/>
      <c r="KER2" s="15"/>
      <c r="KES2" s="15"/>
      <c r="KET2" s="15"/>
      <c r="KEU2" s="15"/>
      <c r="KEV2" s="15"/>
      <c r="KEW2" s="15"/>
      <c r="KEX2" s="15"/>
      <c r="KEY2" s="15"/>
      <c r="KEZ2" s="15"/>
      <c r="KFA2" s="15"/>
      <c r="KFB2" s="15"/>
      <c r="KFC2" s="15"/>
      <c r="KFD2" s="15"/>
      <c r="KFE2" s="15"/>
      <c r="KFF2" s="15"/>
      <c r="KFG2" s="15"/>
      <c r="KFH2" s="15"/>
      <c r="KFI2" s="15"/>
      <c r="KFJ2" s="15"/>
      <c r="KFK2" s="15"/>
      <c r="KFL2" s="15"/>
      <c r="KFM2" s="15"/>
      <c r="KFN2" s="15"/>
      <c r="KFO2" s="15"/>
      <c r="KFP2" s="15"/>
      <c r="KFQ2" s="15"/>
      <c r="KFR2" s="15"/>
      <c r="KFS2" s="15"/>
      <c r="KFT2" s="15"/>
      <c r="KFU2" s="15"/>
      <c r="KFV2" s="15"/>
      <c r="KFW2" s="15"/>
      <c r="KFX2" s="15"/>
      <c r="KFY2" s="15"/>
      <c r="KFZ2" s="15"/>
      <c r="KGA2" s="15"/>
      <c r="KGB2" s="15"/>
      <c r="KGC2" s="15"/>
      <c r="KGD2" s="15"/>
      <c r="KGE2" s="15"/>
      <c r="KGF2" s="15"/>
      <c r="KGG2" s="15"/>
      <c r="KGH2" s="15"/>
      <c r="KGI2" s="15"/>
      <c r="KGJ2" s="15"/>
      <c r="KGK2" s="15"/>
      <c r="KGL2" s="15"/>
      <c r="KGM2" s="15"/>
      <c r="KGN2" s="15"/>
      <c r="KGO2" s="15"/>
      <c r="KGP2" s="15"/>
      <c r="KGQ2" s="15"/>
      <c r="KGR2" s="15"/>
      <c r="KGS2" s="15"/>
      <c r="KGT2" s="15"/>
      <c r="KGU2" s="15"/>
      <c r="KGV2" s="15"/>
      <c r="KGW2" s="15"/>
      <c r="KGX2" s="15"/>
      <c r="KGY2" s="15"/>
      <c r="KGZ2" s="15"/>
      <c r="KHA2" s="15"/>
      <c r="KHB2" s="15"/>
      <c r="KHC2" s="15"/>
      <c r="KHD2" s="15"/>
      <c r="KHE2" s="15"/>
      <c r="KHF2" s="15"/>
      <c r="KHG2" s="15"/>
      <c r="KHH2" s="15"/>
      <c r="KHI2" s="15"/>
      <c r="KHJ2" s="15"/>
      <c r="KHK2" s="15"/>
      <c r="KHL2" s="15"/>
      <c r="KHM2" s="15"/>
      <c r="KHN2" s="15"/>
      <c r="KHO2" s="15"/>
      <c r="KHP2" s="15"/>
      <c r="KHQ2" s="15"/>
      <c r="KHR2" s="15"/>
      <c r="KHS2" s="15"/>
      <c r="KHT2" s="15"/>
      <c r="KHU2" s="15"/>
      <c r="KHV2" s="15"/>
      <c r="KHW2" s="15"/>
      <c r="KHX2" s="15"/>
      <c r="KHY2" s="15"/>
      <c r="KHZ2" s="15"/>
      <c r="KIA2" s="15"/>
      <c r="KIB2" s="15"/>
      <c r="KIC2" s="15"/>
      <c r="KID2" s="15"/>
      <c r="KIE2" s="15"/>
      <c r="KIF2" s="15"/>
      <c r="KIG2" s="15"/>
      <c r="KIH2" s="15"/>
      <c r="KII2" s="15"/>
      <c r="KIJ2" s="15"/>
      <c r="KIK2" s="15"/>
      <c r="KIL2" s="15"/>
      <c r="KIM2" s="15"/>
      <c r="KIN2" s="15"/>
      <c r="KIO2" s="15"/>
      <c r="KIP2" s="15"/>
      <c r="KIQ2" s="15"/>
      <c r="KIR2" s="15"/>
      <c r="KIS2" s="15"/>
      <c r="KIT2" s="15"/>
      <c r="KIU2" s="15"/>
      <c r="KIV2" s="15"/>
      <c r="KIW2" s="15"/>
      <c r="KIX2" s="15"/>
      <c r="KIY2" s="15"/>
      <c r="KIZ2" s="15"/>
      <c r="KJA2" s="15"/>
      <c r="KJB2" s="15"/>
      <c r="KJC2" s="15"/>
      <c r="KJD2" s="15"/>
      <c r="KJE2" s="15"/>
      <c r="KJF2" s="15"/>
      <c r="KJG2" s="15"/>
      <c r="KJH2" s="15"/>
      <c r="KJI2" s="15"/>
      <c r="KJJ2" s="15"/>
      <c r="KJK2" s="15"/>
      <c r="KJL2" s="15"/>
      <c r="KJM2" s="15"/>
      <c r="KJN2" s="15"/>
      <c r="KJO2" s="15"/>
      <c r="KJP2" s="15"/>
      <c r="KJQ2" s="15"/>
      <c r="KJR2" s="15"/>
      <c r="KJS2" s="15"/>
      <c r="KJT2" s="15"/>
      <c r="KJU2" s="15"/>
      <c r="KJV2" s="15"/>
      <c r="KJW2" s="15"/>
      <c r="KJX2" s="15"/>
      <c r="KJY2" s="15"/>
      <c r="KJZ2" s="15"/>
      <c r="KKA2" s="15"/>
      <c r="KKB2" s="15"/>
      <c r="KKC2" s="15"/>
      <c r="KKD2" s="15"/>
      <c r="KKE2" s="15"/>
      <c r="KKF2" s="15"/>
      <c r="KKG2" s="15"/>
      <c r="KKH2" s="15"/>
      <c r="KKI2" s="15"/>
      <c r="KKJ2" s="15"/>
      <c r="KKK2" s="15"/>
      <c r="KKL2" s="15"/>
      <c r="KKM2" s="15"/>
      <c r="KKN2" s="15"/>
      <c r="KKO2" s="15"/>
      <c r="KKP2" s="15"/>
      <c r="KKQ2" s="15"/>
      <c r="KKR2" s="15"/>
      <c r="KKS2" s="15"/>
      <c r="KKT2" s="15"/>
      <c r="KKU2" s="15"/>
      <c r="KKV2" s="15"/>
      <c r="KKW2" s="15"/>
      <c r="KKX2" s="15"/>
      <c r="KKY2" s="15"/>
      <c r="KKZ2" s="15"/>
      <c r="KLA2" s="15"/>
      <c r="KLB2" s="15"/>
      <c r="KLC2" s="15"/>
      <c r="KLD2" s="15"/>
      <c r="KLE2" s="15"/>
      <c r="KLF2" s="15"/>
      <c r="KLG2" s="15"/>
      <c r="KLH2" s="15"/>
      <c r="KLI2" s="15"/>
      <c r="KLJ2" s="15"/>
      <c r="KLK2" s="15"/>
      <c r="KLL2" s="15"/>
      <c r="KLM2" s="15"/>
      <c r="KLN2" s="15"/>
      <c r="KLO2" s="15"/>
      <c r="KLP2" s="15"/>
      <c r="KLQ2" s="15"/>
      <c r="KLR2" s="15"/>
      <c r="KLS2" s="15"/>
      <c r="KLT2" s="15"/>
      <c r="KLU2" s="15"/>
      <c r="KLV2" s="15"/>
      <c r="KLW2" s="15"/>
      <c r="KLX2" s="15"/>
      <c r="KLY2" s="15"/>
      <c r="KLZ2" s="15"/>
      <c r="KMA2" s="15"/>
      <c r="KMB2" s="15"/>
      <c r="KMC2" s="15"/>
      <c r="KMD2" s="15"/>
      <c r="KME2" s="15"/>
      <c r="KMF2" s="15"/>
      <c r="KMG2" s="15"/>
      <c r="KMH2" s="15"/>
      <c r="KMI2" s="15"/>
      <c r="KMJ2" s="15"/>
      <c r="KMK2" s="15"/>
      <c r="KML2" s="15"/>
      <c r="KMM2" s="15"/>
      <c r="KMN2" s="15"/>
      <c r="KMO2" s="15"/>
      <c r="KMP2" s="15"/>
      <c r="KMQ2" s="15"/>
      <c r="KMR2" s="15"/>
      <c r="KMS2" s="15"/>
      <c r="KMT2" s="15"/>
      <c r="KMU2" s="15"/>
      <c r="KMV2" s="15"/>
      <c r="KMW2" s="15"/>
      <c r="KMX2" s="15"/>
      <c r="KMY2" s="15"/>
      <c r="KMZ2" s="15"/>
      <c r="KNA2" s="15"/>
      <c r="KNB2" s="15"/>
      <c r="KNC2" s="15"/>
      <c r="KND2" s="15"/>
      <c r="KNE2" s="15"/>
      <c r="KNF2" s="15"/>
      <c r="KNG2" s="15"/>
      <c r="KNH2" s="15"/>
      <c r="KNI2" s="15"/>
      <c r="KNJ2" s="15"/>
      <c r="KNK2" s="15"/>
      <c r="KNL2" s="15"/>
      <c r="KNM2" s="15"/>
      <c r="KNN2" s="15"/>
      <c r="KNO2" s="15"/>
      <c r="KNP2" s="15"/>
      <c r="KNQ2" s="15"/>
      <c r="KNR2" s="15"/>
      <c r="KNS2" s="15"/>
      <c r="KNT2" s="15"/>
      <c r="KNU2" s="15"/>
      <c r="KNV2" s="15"/>
      <c r="KNW2" s="15"/>
      <c r="KNX2" s="15"/>
      <c r="KNY2" s="15"/>
      <c r="KNZ2" s="15"/>
      <c r="KOA2" s="15"/>
      <c r="KOB2" s="15"/>
      <c r="KOC2" s="15"/>
      <c r="KOD2" s="15"/>
      <c r="KOE2" s="15"/>
      <c r="KOF2" s="15"/>
      <c r="KOG2" s="15"/>
      <c r="KOH2" s="15"/>
      <c r="KOI2" s="15"/>
      <c r="KOJ2" s="15"/>
      <c r="KOK2" s="15"/>
      <c r="KOL2" s="15"/>
      <c r="KOM2" s="15"/>
      <c r="KON2" s="15"/>
      <c r="KOO2" s="15"/>
      <c r="KOP2" s="15"/>
      <c r="KOQ2" s="15"/>
      <c r="KOR2" s="15"/>
      <c r="KOS2" s="15"/>
      <c r="KOT2" s="15"/>
      <c r="KOU2" s="15"/>
      <c r="KOV2" s="15"/>
      <c r="KOW2" s="15"/>
      <c r="KOX2" s="15"/>
      <c r="KOY2" s="15"/>
      <c r="KOZ2" s="15"/>
      <c r="KPA2" s="15"/>
      <c r="KPB2" s="15"/>
      <c r="KPC2" s="15"/>
      <c r="KPD2" s="15"/>
      <c r="KPE2" s="15"/>
      <c r="KPF2" s="15"/>
      <c r="KPG2" s="15"/>
      <c r="KPH2" s="15"/>
      <c r="KPI2" s="15"/>
      <c r="KPJ2" s="15"/>
      <c r="KPK2" s="15"/>
      <c r="KPL2" s="15"/>
      <c r="KPM2" s="15"/>
      <c r="KPN2" s="15"/>
      <c r="KPO2" s="15"/>
      <c r="KPP2" s="15"/>
      <c r="KPQ2" s="15"/>
      <c r="KPR2" s="15"/>
      <c r="KPS2" s="15"/>
      <c r="KPT2" s="15"/>
      <c r="KPU2" s="15"/>
      <c r="KPV2" s="15"/>
      <c r="KPW2" s="15"/>
      <c r="KPX2" s="15"/>
      <c r="KPY2" s="15"/>
      <c r="KPZ2" s="15"/>
      <c r="KQA2" s="15"/>
      <c r="KQB2" s="15"/>
      <c r="KQC2" s="15"/>
      <c r="KQD2" s="15"/>
      <c r="KQE2" s="15"/>
      <c r="KQF2" s="15"/>
      <c r="KQG2" s="15"/>
      <c r="KQH2" s="15"/>
      <c r="KQI2" s="15"/>
      <c r="KQJ2" s="15"/>
      <c r="KQK2" s="15"/>
      <c r="KQL2" s="15"/>
      <c r="KQM2" s="15"/>
      <c r="KQN2" s="15"/>
      <c r="KQO2" s="15"/>
      <c r="KQP2" s="15"/>
      <c r="KQQ2" s="15"/>
      <c r="KQR2" s="15"/>
      <c r="KQS2" s="15"/>
      <c r="KQT2" s="15"/>
      <c r="KQU2" s="15"/>
      <c r="KQV2" s="15"/>
      <c r="KQW2" s="15"/>
      <c r="KQX2" s="15"/>
      <c r="KQY2" s="15"/>
      <c r="KQZ2" s="15"/>
      <c r="KRA2" s="15"/>
      <c r="KRB2" s="15"/>
      <c r="KRC2" s="15"/>
      <c r="KRD2" s="15"/>
      <c r="KRE2" s="15"/>
      <c r="KRF2" s="15"/>
      <c r="KRG2" s="15"/>
      <c r="KRH2" s="15"/>
      <c r="KRI2" s="15"/>
      <c r="KRJ2" s="15"/>
      <c r="KRK2" s="15"/>
      <c r="KRL2" s="15"/>
      <c r="KRM2" s="15"/>
      <c r="KRN2" s="15"/>
      <c r="KRO2" s="15"/>
      <c r="KRP2" s="15"/>
      <c r="KRQ2" s="15"/>
      <c r="KRR2" s="15"/>
      <c r="KRS2" s="15"/>
      <c r="KRT2" s="15"/>
      <c r="KRU2" s="15"/>
      <c r="KRV2" s="15"/>
      <c r="KRW2" s="15"/>
      <c r="KRX2" s="15"/>
      <c r="KRY2" s="15"/>
      <c r="KRZ2" s="15"/>
      <c r="KSA2" s="15"/>
      <c r="KSB2" s="15"/>
      <c r="KSC2" s="15"/>
      <c r="KSD2" s="15"/>
      <c r="KSE2" s="15"/>
      <c r="KSF2" s="15"/>
      <c r="KSG2" s="15"/>
      <c r="KSH2" s="15"/>
      <c r="KSI2" s="15"/>
      <c r="KSJ2" s="15"/>
      <c r="KSK2" s="15"/>
      <c r="KSL2" s="15"/>
      <c r="KSM2" s="15"/>
      <c r="KSN2" s="15"/>
      <c r="KSO2" s="15"/>
      <c r="KSP2" s="15"/>
      <c r="KSQ2" s="15"/>
      <c r="KSR2" s="15"/>
      <c r="KSS2" s="15"/>
      <c r="KST2" s="15"/>
      <c r="KSU2" s="15"/>
      <c r="KSV2" s="15"/>
      <c r="KSW2" s="15"/>
      <c r="KSX2" s="15"/>
      <c r="KSY2" s="15"/>
      <c r="KSZ2" s="15"/>
      <c r="KTA2" s="15"/>
      <c r="KTB2" s="15"/>
      <c r="KTC2" s="15"/>
      <c r="KTD2" s="15"/>
      <c r="KTE2" s="15"/>
      <c r="KTF2" s="15"/>
      <c r="KTG2" s="15"/>
      <c r="KTH2" s="15"/>
      <c r="KTI2" s="15"/>
      <c r="KTJ2" s="15"/>
      <c r="KTK2" s="15"/>
      <c r="KTL2" s="15"/>
      <c r="KTM2" s="15"/>
      <c r="KTN2" s="15"/>
      <c r="KTO2" s="15"/>
      <c r="KTP2" s="15"/>
      <c r="KTQ2" s="15"/>
      <c r="KTR2" s="15"/>
      <c r="KTS2" s="15"/>
      <c r="KTT2" s="15"/>
      <c r="KTU2" s="15"/>
      <c r="KTV2" s="15"/>
      <c r="KTW2" s="15"/>
      <c r="KTX2" s="15"/>
      <c r="KTY2" s="15"/>
      <c r="KTZ2" s="15"/>
      <c r="KUA2" s="15"/>
      <c r="KUB2" s="15"/>
      <c r="KUC2" s="15"/>
      <c r="KUD2" s="15"/>
      <c r="KUE2" s="15"/>
      <c r="KUF2" s="15"/>
      <c r="KUG2" s="15"/>
      <c r="KUH2" s="15"/>
      <c r="KUI2" s="15"/>
      <c r="KUJ2" s="15"/>
      <c r="KUK2" s="15"/>
      <c r="KUL2" s="15"/>
      <c r="KUM2" s="15"/>
      <c r="KUN2" s="15"/>
      <c r="KUO2" s="15"/>
      <c r="KUP2" s="15"/>
      <c r="KUQ2" s="15"/>
      <c r="KUR2" s="15"/>
      <c r="KUS2" s="15"/>
      <c r="KUT2" s="15"/>
      <c r="KUU2" s="15"/>
      <c r="KUV2" s="15"/>
      <c r="KUW2" s="15"/>
      <c r="KUX2" s="15"/>
      <c r="KUY2" s="15"/>
      <c r="KUZ2" s="15"/>
      <c r="KVA2" s="15"/>
      <c r="KVB2" s="15"/>
      <c r="KVC2" s="15"/>
      <c r="KVD2" s="15"/>
      <c r="KVE2" s="15"/>
      <c r="KVF2" s="15"/>
      <c r="KVG2" s="15"/>
      <c r="KVH2" s="15"/>
      <c r="KVI2" s="15"/>
      <c r="KVJ2" s="15"/>
      <c r="KVK2" s="15"/>
      <c r="KVL2" s="15"/>
      <c r="KVM2" s="15"/>
      <c r="KVN2" s="15"/>
      <c r="KVO2" s="15"/>
      <c r="KVP2" s="15"/>
      <c r="KVQ2" s="15"/>
      <c r="KVR2" s="15"/>
      <c r="KVS2" s="15"/>
      <c r="KVT2" s="15"/>
      <c r="KVU2" s="15"/>
      <c r="KVV2" s="15"/>
      <c r="KVW2" s="15"/>
      <c r="KVX2" s="15"/>
      <c r="KVY2" s="15"/>
      <c r="KVZ2" s="15"/>
      <c r="KWA2" s="15"/>
      <c r="KWB2" s="15"/>
      <c r="KWC2" s="15"/>
      <c r="KWD2" s="15"/>
      <c r="KWE2" s="15"/>
      <c r="KWF2" s="15"/>
      <c r="KWG2" s="15"/>
      <c r="KWH2" s="15"/>
      <c r="KWI2" s="15"/>
      <c r="KWJ2" s="15"/>
      <c r="KWK2" s="15"/>
      <c r="KWL2" s="15"/>
      <c r="KWM2" s="15"/>
      <c r="KWN2" s="15"/>
      <c r="KWO2" s="15"/>
      <c r="KWP2" s="15"/>
      <c r="KWQ2" s="15"/>
      <c r="KWR2" s="15"/>
      <c r="KWS2" s="15"/>
      <c r="KWT2" s="15"/>
      <c r="KWU2" s="15"/>
      <c r="KWV2" s="15"/>
      <c r="KWW2" s="15"/>
      <c r="KWX2" s="15"/>
      <c r="KWY2" s="15"/>
      <c r="KWZ2" s="15"/>
      <c r="KXA2" s="15"/>
      <c r="KXB2" s="15"/>
      <c r="KXC2" s="15"/>
      <c r="KXD2" s="15"/>
      <c r="KXE2" s="15"/>
      <c r="KXF2" s="15"/>
      <c r="KXG2" s="15"/>
      <c r="KXH2" s="15"/>
      <c r="KXI2" s="15"/>
      <c r="KXJ2" s="15"/>
      <c r="KXK2" s="15"/>
      <c r="KXL2" s="15"/>
      <c r="KXM2" s="15"/>
      <c r="KXN2" s="15"/>
      <c r="KXO2" s="15"/>
      <c r="KXP2" s="15"/>
      <c r="KXQ2" s="15"/>
      <c r="KXR2" s="15"/>
      <c r="KXS2" s="15"/>
      <c r="KXT2" s="15"/>
      <c r="KXU2" s="15"/>
      <c r="KXV2" s="15"/>
      <c r="KXW2" s="15"/>
      <c r="KXX2" s="15"/>
      <c r="KXY2" s="15"/>
      <c r="KXZ2" s="15"/>
      <c r="KYA2" s="15"/>
      <c r="KYB2" s="15"/>
      <c r="KYC2" s="15"/>
      <c r="KYD2" s="15"/>
      <c r="KYE2" s="15"/>
      <c r="KYF2" s="15"/>
      <c r="KYG2" s="15"/>
      <c r="KYH2" s="15"/>
      <c r="KYI2" s="15"/>
      <c r="KYJ2" s="15"/>
      <c r="KYK2" s="15"/>
      <c r="KYL2" s="15"/>
      <c r="KYM2" s="15"/>
      <c r="KYN2" s="15"/>
      <c r="KYO2" s="15"/>
      <c r="KYP2" s="15"/>
      <c r="KYQ2" s="15"/>
      <c r="KYR2" s="15"/>
      <c r="KYS2" s="15"/>
      <c r="KYT2" s="15"/>
      <c r="KYU2" s="15"/>
      <c r="KYV2" s="15"/>
      <c r="KYW2" s="15"/>
      <c r="KYX2" s="15"/>
      <c r="KYY2" s="15"/>
      <c r="KYZ2" s="15"/>
      <c r="KZA2" s="15"/>
      <c r="KZB2" s="15"/>
      <c r="KZC2" s="15"/>
      <c r="KZD2" s="15"/>
      <c r="KZE2" s="15"/>
      <c r="KZF2" s="15"/>
      <c r="KZG2" s="15"/>
      <c r="KZH2" s="15"/>
      <c r="KZI2" s="15"/>
      <c r="KZJ2" s="15"/>
      <c r="KZK2" s="15"/>
      <c r="KZL2" s="15"/>
      <c r="KZM2" s="15"/>
      <c r="KZN2" s="15"/>
      <c r="KZO2" s="15"/>
      <c r="KZP2" s="15"/>
      <c r="KZQ2" s="15"/>
      <c r="KZR2" s="15"/>
      <c r="KZS2" s="15"/>
      <c r="KZT2" s="15"/>
      <c r="KZU2" s="15"/>
      <c r="KZV2" s="15"/>
      <c r="KZW2" s="15"/>
      <c r="KZX2" s="15"/>
      <c r="KZY2" s="15"/>
      <c r="KZZ2" s="15"/>
      <c r="LAA2" s="15"/>
      <c r="LAB2" s="15"/>
      <c r="LAC2" s="15"/>
      <c r="LAD2" s="15"/>
      <c r="LAE2" s="15"/>
      <c r="LAF2" s="15"/>
      <c r="LAG2" s="15"/>
      <c r="LAH2" s="15"/>
      <c r="LAI2" s="15"/>
      <c r="LAJ2" s="15"/>
      <c r="LAK2" s="15"/>
      <c r="LAL2" s="15"/>
      <c r="LAM2" s="15"/>
      <c r="LAN2" s="15"/>
      <c r="LAO2" s="15"/>
      <c r="LAP2" s="15"/>
      <c r="LAQ2" s="15"/>
      <c r="LAR2" s="15"/>
      <c r="LAS2" s="15"/>
      <c r="LAT2" s="15"/>
      <c r="LAU2" s="15"/>
      <c r="LAV2" s="15"/>
      <c r="LAW2" s="15"/>
      <c r="LAX2" s="15"/>
      <c r="LAY2" s="15"/>
      <c r="LAZ2" s="15"/>
      <c r="LBA2" s="15"/>
      <c r="LBB2" s="15"/>
      <c r="LBC2" s="15"/>
      <c r="LBD2" s="15"/>
      <c r="LBE2" s="15"/>
      <c r="LBF2" s="15"/>
      <c r="LBG2" s="15"/>
      <c r="LBH2" s="15"/>
      <c r="LBI2" s="15"/>
      <c r="LBJ2" s="15"/>
      <c r="LBK2" s="15"/>
      <c r="LBL2" s="15"/>
      <c r="LBM2" s="15"/>
      <c r="LBN2" s="15"/>
      <c r="LBO2" s="15"/>
      <c r="LBP2" s="15"/>
      <c r="LBQ2" s="15"/>
      <c r="LBR2" s="15"/>
      <c r="LBS2" s="15"/>
      <c r="LBT2" s="15"/>
      <c r="LBU2" s="15"/>
      <c r="LBV2" s="15"/>
      <c r="LBW2" s="15"/>
      <c r="LBX2" s="15"/>
      <c r="LBY2" s="15"/>
      <c r="LBZ2" s="15"/>
      <c r="LCA2" s="15"/>
      <c r="LCB2" s="15"/>
      <c r="LCC2" s="15"/>
      <c r="LCD2" s="15"/>
      <c r="LCE2" s="15"/>
      <c r="LCF2" s="15"/>
      <c r="LCG2" s="15"/>
      <c r="LCH2" s="15"/>
      <c r="LCI2" s="15"/>
      <c r="LCJ2" s="15"/>
      <c r="LCK2" s="15"/>
      <c r="LCL2" s="15"/>
      <c r="LCM2" s="15"/>
      <c r="LCN2" s="15"/>
      <c r="LCO2" s="15"/>
      <c r="LCP2" s="15"/>
      <c r="LCQ2" s="15"/>
      <c r="LCR2" s="15"/>
      <c r="LCS2" s="15"/>
      <c r="LCT2" s="15"/>
      <c r="LCU2" s="15"/>
      <c r="LCV2" s="15"/>
      <c r="LCW2" s="15"/>
      <c r="LCX2" s="15"/>
      <c r="LCY2" s="15"/>
      <c r="LCZ2" s="15"/>
      <c r="LDA2" s="15"/>
      <c r="LDB2" s="15"/>
      <c r="LDC2" s="15"/>
      <c r="LDD2" s="15"/>
      <c r="LDE2" s="15"/>
      <c r="LDF2" s="15"/>
      <c r="LDG2" s="15"/>
      <c r="LDH2" s="15"/>
      <c r="LDI2" s="15"/>
      <c r="LDJ2" s="15"/>
      <c r="LDK2" s="15"/>
      <c r="LDL2" s="15"/>
      <c r="LDM2" s="15"/>
      <c r="LDN2" s="15"/>
      <c r="LDO2" s="15"/>
      <c r="LDP2" s="15"/>
      <c r="LDQ2" s="15"/>
      <c r="LDR2" s="15"/>
      <c r="LDS2" s="15"/>
      <c r="LDT2" s="15"/>
      <c r="LDU2" s="15"/>
      <c r="LDV2" s="15"/>
      <c r="LDW2" s="15"/>
      <c r="LDX2" s="15"/>
      <c r="LDY2" s="15"/>
      <c r="LDZ2" s="15"/>
      <c r="LEA2" s="15"/>
      <c r="LEB2" s="15"/>
      <c r="LEC2" s="15"/>
      <c r="LED2" s="15"/>
      <c r="LEE2" s="15"/>
      <c r="LEF2" s="15"/>
      <c r="LEG2" s="15"/>
      <c r="LEH2" s="15"/>
      <c r="LEI2" s="15"/>
      <c r="LEJ2" s="15"/>
      <c r="LEK2" s="15"/>
      <c r="LEL2" s="15"/>
      <c r="LEM2" s="15"/>
      <c r="LEN2" s="15"/>
      <c r="LEO2" s="15"/>
      <c r="LEP2" s="15"/>
      <c r="LEQ2" s="15"/>
      <c r="LER2" s="15"/>
      <c r="LES2" s="15"/>
      <c r="LET2" s="15"/>
      <c r="LEU2" s="15"/>
      <c r="LEV2" s="15"/>
      <c r="LEW2" s="15"/>
      <c r="LEX2" s="15"/>
      <c r="LEY2" s="15"/>
      <c r="LEZ2" s="15"/>
      <c r="LFA2" s="15"/>
      <c r="LFB2" s="15"/>
      <c r="LFC2" s="15"/>
      <c r="LFD2" s="15"/>
      <c r="LFE2" s="15"/>
      <c r="LFF2" s="15"/>
      <c r="LFG2" s="15"/>
      <c r="LFH2" s="15"/>
      <c r="LFI2" s="15"/>
      <c r="LFJ2" s="15"/>
      <c r="LFK2" s="15"/>
      <c r="LFL2" s="15"/>
      <c r="LFM2" s="15"/>
      <c r="LFN2" s="15"/>
      <c r="LFO2" s="15"/>
      <c r="LFP2" s="15"/>
      <c r="LFQ2" s="15"/>
      <c r="LFR2" s="15"/>
      <c r="LFS2" s="15"/>
      <c r="LFT2" s="15"/>
      <c r="LFU2" s="15"/>
      <c r="LFV2" s="15"/>
      <c r="LFW2" s="15"/>
      <c r="LFX2" s="15"/>
      <c r="LFY2" s="15"/>
      <c r="LFZ2" s="15"/>
      <c r="LGA2" s="15"/>
      <c r="LGB2" s="15"/>
      <c r="LGC2" s="15"/>
      <c r="LGD2" s="15"/>
      <c r="LGE2" s="15"/>
      <c r="LGF2" s="15"/>
      <c r="LGG2" s="15"/>
      <c r="LGH2" s="15"/>
      <c r="LGI2" s="15"/>
      <c r="LGJ2" s="15"/>
      <c r="LGK2" s="15"/>
      <c r="LGL2" s="15"/>
      <c r="LGM2" s="15"/>
      <c r="LGN2" s="15"/>
      <c r="LGO2" s="15"/>
      <c r="LGP2" s="15"/>
      <c r="LGQ2" s="15"/>
      <c r="LGR2" s="15"/>
      <c r="LGS2" s="15"/>
      <c r="LGT2" s="15"/>
      <c r="LGU2" s="15"/>
      <c r="LGV2" s="15"/>
      <c r="LGW2" s="15"/>
      <c r="LGX2" s="15"/>
      <c r="LGY2" s="15"/>
      <c r="LGZ2" s="15"/>
      <c r="LHA2" s="15"/>
      <c r="LHB2" s="15"/>
      <c r="LHC2" s="15"/>
      <c r="LHD2" s="15"/>
      <c r="LHE2" s="15"/>
      <c r="LHF2" s="15"/>
      <c r="LHG2" s="15"/>
      <c r="LHH2" s="15"/>
      <c r="LHI2" s="15"/>
      <c r="LHJ2" s="15"/>
      <c r="LHK2" s="15"/>
      <c r="LHL2" s="15"/>
      <c r="LHM2" s="15"/>
      <c r="LHN2" s="15"/>
      <c r="LHO2" s="15"/>
      <c r="LHP2" s="15"/>
      <c r="LHQ2" s="15"/>
      <c r="LHR2" s="15"/>
      <c r="LHS2" s="15"/>
      <c r="LHT2" s="15"/>
      <c r="LHU2" s="15"/>
      <c r="LHV2" s="15"/>
      <c r="LHW2" s="15"/>
      <c r="LHX2" s="15"/>
      <c r="LHY2" s="15"/>
      <c r="LHZ2" s="15"/>
      <c r="LIA2" s="15"/>
      <c r="LIB2" s="15"/>
      <c r="LIC2" s="15"/>
      <c r="LID2" s="15"/>
      <c r="LIE2" s="15"/>
      <c r="LIF2" s="15"/>
      <c r="LIG2" s="15"/>
      <c r="LIH2" s="15"/>
      <c r="LII2" s="15"/>
      <c r="LIJ2" s="15"/>
      <c r="LIK2" s="15"/>
      <c r="LIL2" s="15"/>
      <c r="LIM2" s="15"/>
      <c r="LIN2" s="15"/>
      <c r="LIO2" s="15"/>
      <c r="LIP2" s="15"/>
      <c r="LIQ2" s="15"/>
      <c r="LIR2" s="15"/>
      <c r="LIS2" s="15"/>
      <c r="LIT2" s="15"/>
      <c r="LIU2" s="15"/>
      <c r="LIV2" s="15"/>
      <c r="LIW2" s="15"/>
      <c r="LIX2" s="15"/>
      <c r="LIY2" s="15"/>
      <c r="LIZ2" s="15"/>
      <c r="LJA2" s="15"/>
      <c r="LJB2" s="15"/>
      <c r="LJC2" s="15"/>
      <c r="LJD2" s="15"/>
      <c r="LJE2" s="15"/>
      <c r="LJF2" s="15"/>
      <c r="LJG2" s="15"/>
      <c r="LJH2" s="15"/>
      <c r="LJI2" s="15"/>
      <c r="LJJ2" s="15"/>
      <c r="LJK2" s="15"/>
      <c r="LJL2" s="15"/>
      <c r="LJM2" s="15"/>
      <c r="LJN2" s="15"/>
      <c r="LJO2" s="15"/>
      <c r="LJP2" s="15"/>
      <c r="LJQ2" s="15"/>
      <c r="LJR2" s="15"/>
      <c r="LJS2" s="15"/>
      <c r="LJT2" s="15"/>
      <c r="LJU2" s="15"/>
      <c r="LJV2" s="15"/>
      <c r="LJW2" s="15"/>
      <c r="LJX2" s="15"/>
      <c r="LJY2" s="15"/>
      <c r="LJZ2" s="15"/>
      <c r="LKA2" s="15"/>
      <c r="LKB2" s="15"/>
      <c r="LKC2" s="15"/>
      <c r="LKD2" s="15"/>
      <c r="LKE2" s="15"/>
      <c r="LKF2" s="15"/>
      <c r="LKG2" s="15"/>
      <c r="LKH2" s="15"/>
      <c r="LKI2" s="15"/>
      <c r="LKJ2" s="15"/>
      <c r="LKK2" s="15"/>
      <c r="LKL2" s="15"/>
      <c r="LKM2" s="15"/>
      <c r="LKN2" s="15"/>
      <c r="LKO2" s="15"/>
      <c r="LKP2" s="15"/>
      <c r="LKQ2" s="15"/>
      <c r="LKR2" s="15"/>
      <c r="LKS2" s="15"/>
      <c r="LKT2" s="15"/>
      <c r="LKU2" s="15"/>
      <c r="LKV2" s="15"/>
      <c r="LKW2" s="15"/>
      <c r="LKX2" s="15"/>
      <c r="LKY2" s="15"/>
      <c r="LKZ2" s="15"/>
      <c r="LLA2" s="15"/>
      <c r="LLB2" s="15"/>
      <c r="LLC2" s="15"/>
      <c r="LLD2" s="15"/>
      <c r="LLE2" s="15"/>
      <c r="LLF2" s="15"/>
      <c r="LLG2" s="15"/>
      <c r="LLH2" s="15"/>
      <c r="LLI2" s="15"/>
      <c r="LLJ2" s="15"/>
      <c r="LLK2" s="15"/>
      <c r="LLL2" s="15"/>
      <c r="LLM2" s="15"/>
      <c r="LLN2" s="15"/>
      <c r="LLO2" s="15"/>
      <c r="LLP2" s="15"/>
      <c r="LLQ2" s="15"/>
      <c r="LLR2" s="15"/>
      <c r="LLS2" s="15"/>
      <c r="LLT2" s="15"/>
      <c r="LLU2" s="15"/>
      <c r="LLV2" s="15"/>
      <c r="LLW2" s="15"/>
      <c r="LLX2" s="15"/>
      <c r="LLY2" s="15"/>
      <c r="LLZ2" s="15"/>
      <c r="LMA2" s="15"/>
      <c r="LMB2" s="15"/>
      <c r="LMC2" s="15"/>
      <c r="LMD2" s="15"/>
      <c r="LME2" s="15"/>
      <c r="LMF2" s="15"/>
      <c r="LMG2" s="15"/>
      <c r="LMH2" s="15"/>
      <c r="LMI2" s="15"/>
      <c r="LMJ2" s="15"/>
      <c r="LMK2" s="15"/>
      <c r="LML2" s="15"/>
      <c r="LMM2" s="15"/>
      <c r="LMN2" s="15"/>
      <c r="LMO2" s="15"/>
      <c r="LMP2" s="15"/>
      <c r="LMQ2" s="15"/>
      <c r="LMR2" s="15"/>
      <c r="LMS2" s="15"/>
      <c r="LMT2" s="15"/>
      <c r="LMU2" s="15"/>
      <c r="LMV2" s="15"/>
      <c r="LMW2" s="15"/>
      <c r="LMX2" s="15"/>
      <c r="LMY2" s="15"/>
      <c r="LMZ2" s="15"/>
      <c r="LNA2" s="15"/>
      <c r="LNB2" s="15"/>
      <c r="LNC2" s="15"/>
      <c r="LND2" s="15"/>
      <c r="LNE2" s="15"/>
      <c r="LNF2" s="15"/>
      <c r="LNG2" s="15"/>
      <c r="LNH2" s="15"/>
      <c r="LNI2" s="15"/>
      <c r="LNJ2" s="15"/>
      <c r="LNK2" s="15"/>
      <c r="LNL2" s="15"/>
      <c r="LNM2" s="15"/>
      <c r="LNN2" s="15"/>
      <c r="LNO2" s="15"/>
      <c r="LNP2" s="15"/>
      <c r="LNQ2" s="15"/>
      <c r="LNR2" s="15"/>
      <c r="LNS2" s="15"/>
      <c r="LNT2" s="15"/>
      <c r="LNU2" s="15"/>
      <c r="LNV2" s="15"/>
      <c r="LNW2" s="15"/>
      <c r="LNX2" s="15"/>
      <c r="LNY2" s="15"/>
      <c r="LNZ2" s="15"/>
      <c r="LOA2" s="15"/>
      <c r="LOB2" s="15"/>
      <c r="LOC2" s="15"/>
      <c r="LOD2" s="15"/>
      <c r="LOE2" s="15"/>
      <c r="LOF2" s="15"/>
      <c r="LOG2" s="15"/>
      <c r="LOH2" s="15"/>
      <c r="LOI2" s="15"/>
      <c r="LOJ2" s="15"/>
      <c r="LOK2" s="15"/>
      <c r="LOL2" s="15"/>
      <c r="LOM2" s="15"/>
      <c r="LON2" s="15"/>
      <c r="LOO2" s="15"/>
      <c r="LOP2" s="15"/>
      <c r="LOQ2" s="15"/>
      <c r="LOR2" s="15"/>
      <c r="LOS2" s="15"/>
      <c r="LOT2" s="15"/>
      <c r="LOU2" s="15"/>
      <c r="LOV2" s="15"/>
      <c r="LOW2" s="15"/>
      <c r="LOX2" s="15"/>
      <c r="LOY2" s="15"/>
      <c r="LOZ2" s="15"/>
      <c r="LPA2" s="15"/>
      <c r="LPB2" s="15"/>
      <c r="LPC2" s="15"/>
      <c r="LPD2" s="15"/>
      <c r="LPE2" s="15"/>
      <c r="LPF2" s="15"/>
      <c r="LPG2" s="15"/>
      <c r="LPH2" s="15"/>
      <c r="LPI2" s="15"/>
      <c r="LPJ2" s="15"/>
      <c r="LPK2" s="15"/>
      <c r="LPL2" s="15"/>
      <c r="LPM2" s="15"/>
      <c r="LPN2" s="15"/>
      <c r="LPO2" s="15"/>
      <c r="LPP2" s="15"/>
      <c r="LPQ2" s="15"/>
      <c r="LPR2" s="15"/>
      <c r="LPS2" s="15"/>
      <c r="LPT2" s="15"/>
      <c r="LPU2" s="15"/>
      <c r="LPV2" s="15"/>
      <c r="LPW2" s="15"/>
      <c r="LPX2" s="15"/>
      <c r="LPY2" s="15"/>
      <c r="LPZ2" s="15"/>
      <c r="LQA2" s="15"/>
      <c r="LQB2" s="15"/>
      <c r="LQC2" s="15"/>
      <c r="LQD2" s="15"/>
      <c r="LQE2" s="15"/>
      <c r="LQF2" s="15"/>
      <c r="LQG2" s="15"/>
      <c r="LQH2" s="15"/>
      <c r="LQI2" s="15"/>
      <c r="LQJ2" s="15"/>
      <c r="LQK2" s="15"/>
      <c r="LQL2" s="15"/>
      <c r="LQM2" s="15"/>
      <c r="LQN2" s="15"/>
      <c r="LQO2" s="15"/>
      <c r="LQP2" s="15"/>
      <c r="LQQ2" s="15"/>
      <c r="LQR2" s="15"/>
      <c r="LQS2" s="15"/>
      <c r="LQT2" s="15"/>
      <c r="LQU2" s="15"/>
      <c r="LQV2" s="15"/>
      <c r="LQW2" s="15"/>
      <c r="LQX2" s="15"/>
      <c r="LQY2" s="15"/>
      <c r="LQZ2" s="15"/>
      <c r="LRA2" s="15"/>
      <c r="LRB2" s="15"/>
      <c r="LRC2" s="15"/>
      <c r="LRD2" s="15"/>
      <c r="LRE2" s="15"/>
      <c r="LRF2" s="15"/>
      <c r="LRG2" s="15"/>
      <c r="LRH2" s="15"/>
      <c r="LRI2" s="15"/>
      <c r="LRJ2" s="15"/>
      <c r="LRK2" s="15"/>
      <c r="LRL2" s="15"/>
      <c r="LRM2" s="15"/>
      <c r="LRN2" s="15"/>
      <c r="LRO2" s="15"/>
      <c r="LRP2" s="15"/>
      <c r="LRQ2" s="15"/>
      <c r="LRR2" s="15"/>
      <c r="LRS2" s="15"/>
      <c r="LRT2" s="15"/>
      <c r="LRU2" s="15"/>
      <c r="LRV2" s="15"/>
      <c r="LRW2" s="15"/>
      <c r="LRX2" s="15"/>
      <c r="LRY2" s="15"/>
      <c r="LRZ2" s="15"/>
      <c r="LSA2" s="15"/>
      <c r="LSB2" s="15"/>
      <c r="LSC2" s="15"/>
      <c r="LSD2" s="15"/>
      <c r="LSE2" s="15"/>
      <c r="LSF2" s="15"/>
      <c r="LSG2" s="15"/>
      <c r="LSH2" s="15"/>
      <c r="LSI2" s="15"/>
      <c r="LSJ2" s="15"/>
      <c r="LSK2" s="15"/>
      <c r="LSL2" s="15"/>
      <c r="LSM2" s="15"/>
      <c r="LSN2" s="15"/>
      <c r="LSO2" s="15"/>
      <c r="LSP2" s="15"/>
      <c r="LSQ2" s="15"/>
      <c r="LSR2" s="15"/>
      <c r="LSS2" s="15"/>
      <c r="LST2" s="15"/>
      <c r="LSU2" s="15"/>
      <c r="LSV2" s="15"/>
      <c r="LSW2" s="15"/>
      <c r="LSX2" s="15"/>
      <c r="LSY2" s="15"/>
      <c r="LSZ2" s="15"/>
      <c r="LTA2" s="15"/>
      <c r="LTB2" s="15"/>
      <c r="LTC2" s="15"/>
      <c r="LTD2" s="15"/>
      <c r="LTE2" s="15"/>
      <c r="LTF2" s="15"/>
      <c r="LTG2" s="15"/>
      <c r="LTH2" s="15"/>
      <c r="LTI2" s="15"/>
      <c r="LTJ2" s="15"/>
      <c r="LTK2" s="15"/>
      <c r="LTL2" s="15"/>
      <c r="LTM2" s="15"/>
      <c r="LTN2" s="15"/>
      <c r="LTO2" s="15"/>
      <c r="LTP2" s="15"/>
      <c r="LTQ2" s="15"/>
      <c r="LTR2" s="15"/>
      <c r="LTS2" s="15"/>
      <c r="LTT2" s="15"/>
      <c r="LTU2" s="15"/>
      <c r="LTV2" s="15"/>
      <c r="LTW2" s="15"/>
      <c r="LTX2" s="15"/>
      <c r="LTY2" s="15"/>
      <c r="LTZ2" s="15"/>
      <c r="LUA2" s="15"/>
      <c r="LUB2" s="15"/>
      <c r="LUC2" s="15"/>
      <c r="LUD2" s="15"/>
      <c r="LUE2" s="15"/>
      <c r="LUF2" s="15"/>
      <c r="LUG2" s="15"/>
      <c r="LUH2" s="15"/>
      <c r="LUI2" s="15"/>
      <c r="LUJ2" s="15"/>
      <c r="LUK2" s="15"/>
      <c r="LUL2" s="15"/>
      <c r="LUM2" s="15"/>
      <c r="LUN2" s="15"/>
      <c r="LUO2" s="15"/>
      <c r="LUP2" s="15"/>
      <c r="LUQ2" s="15"/>
      <c r="LUR2" s="15"/>
      <c r="LUS2" s="15"/>
      <c r="LUT2" s="15"/>
      <c r="LUU2" s="15"/>
      <c r="LUV2" s="15"/>
      <c r="LUW2" s="15"/>
      <c r="LUX2" s="15"/>
      <c r="LUY2" s="15"/>
      <c r="LUZ2" s="15"/>
      <c r="LVA2" s="15"/>
      <c r="LVB2" s="15"/>
      <c r="LVC2" s="15"/>
      <c r="LVD2" s="15"/>
      <c r="LVE2" s="15"/>
      <c r="LVF2" s="15"/>
      <c r="LVG2" s="15"/>
      <c r="LVH2" s="15"/>
      <c r="LVI2" s="15"/>
      <c r="LVJ2" s="15"/>
      <c r="LVK2" s="15"/>
      <c r="LVL2" s="15"/>
      <c r="LVM2" s="15"/>
      <c r="LVN2" s="15"/>
      <c r="LVO2" s="15"/>
      <c r="LVP2" s="15"/>
      <c r="LVQ2" s="15"/>
      <c r="LVR2" s="15"/>
      <c r="LVS2" s="15"/>
      <c r="LVT2" s="15"/>
      <c r="LVU2" s="15"/>
      <c r="LVV2" s="15"/>
      <c r="LVW2" s="15"/>
      <c r="LVX2" s="15"/>
      <c r="LVY2" s="15"/>
      <c r="LVZ2" s="15"/>
      <c r="LWA2" s="15"/>
      <c r="LWB2" s="15"/>
      <c r="LWC2" s="15"/>
      <c r="LWD2" s="15"/>
      <c r="LWE2" s="15"/>
      <c r="LWF2" s="15"/>
      <c r="LWG2" s="15"/>
      <c r="LWH2" s="15"/>
      <c r="LWI2" s="15"/>
      <c r="LWJ2" s="15"/>
      <c r="LWK2" s="15"/>
      <c r="LWL2" s="15"/>
      <c r="LWM2" s="15"/>
      <c r="LWN2" s="15"/>
      <c r="LWO2" s="15"/>
      <c r="LWP2" s="15"/>
      <c r="LWQ2" s="15"/>
      <c r="LWR2" s="15"/>
      <c r="LWS2" s="15"/>
      <c r="LWT2" s="15"/>
      <c r="LWU2" s="15"/>
      <c r="LWV2" s="15"/>
      <c r="LWW2" s="15"/>
      <c r="LWX2" s="15"/>
      <c r="LWY2" s="15"/>
      <c r="LWZ2" s="15"/>
      <c r="LXA2" s="15"/>
      <c r="LXB2" s="15"/>
      <c r="LXC2" s="15"/>
      <c r="LXD2" s="15"/>
      <c r="LXE2" s="15"/>
      <c r="LXF2" s="15"/>
      <c r="LXG2" s="15"/>
      <c r="LXH2" s="15"/>
      <c r="LXI2" s="15"/>
      <c r="LXJ2" s="15"/>
      <c r="LXK2" s="15"/>
      <c r="LXL2" s="15"/>
      <c r="LXM2" s="15"/>
      <c r="LXN2" s="15"/>
      <c r="LXO2" s="15"/>
      <c r="LXP2" s="15"/>
      <c r="LXQ2" s="15"/>
      <c r="LXR2" s="15"/>
      <c r="LXS2" s="15"/>
      <c r="LXT2" s="15"/>
      <c r="LXU2" s="15"/>
      <c r="LXV2" s="15"/>
      <c r="LXW2" s="15"/>
      <c r="LXX2" s="15"/>
      <c r="LXY2" s="15"/>
      <c r="LXZ2" s="15"/>
      <c r="LYA2" s="15"/>
      <c r="LYB2" s="15"/>
      <c r="LYC2" s="15"/>
      <c r="LYD2" s="15"/>
      <c r="LYE2" s="15"/>
      <c r="LYF2" s="15"/>
      <c r="LYG2" s="15"/>
      <c r="LYH2" s="15"/>
      <c r="LYI2" s="15"/>
      <c r="LYJ2" s="15"/>
      <c r="LYK2" s="15"/>
      <c r="LYL2" s="15"/>
      <c r="LYM2" s="15"/>
      <c r="LYN2" s="15"/>
      <c r="LYO2" s="15"/>
      <c r="LYP2" s="15"/>
      <c r="LYQ2" s="15"/>
      <c r="LYR2" s="15"/>
      <c r="LYS2" s="15"/>
      <c r="LYT2" s="15"/>
      <c r="LYU2" s="15"/>
      <c r="LYV2" s="15"/>
      <c r="LYW2" s="15"/>
      <c r="LYX2" s="15"/>
      <c r="LYY2" s="15"/>
      <c r="LYZ2" s="15"/>
      <c r="LZA2" s="15"/>
      <c r="LZB2" s="15"/>
      <c r="LZC2" s="15"/>
      <c r="LZD2" s="15"/>
      <c r="LZE2" s="15"/>
      <c r="LZF2" s="15"/>
      <c r="LZG2" s="15"/>
      <c r="LZH2" s="15"/>
      <c r="LZI2" s="15"/>
      <c r="LZJ2" s="15"/>
      <c r="LZK2" s="15"/>
      <c r="LZL2" s="15"/>
      <c r="LZM2" s="15"/>
      <c r="LZN2" s="15"/>
      <c r="LZO2" s="15"/>
      <c r="LZP2" s="15"/>
      <c r="LZQ2" s="15"/>
      <c r="LZR2" s="15"/>
      <c r="LZS2" s="15"/>
      <c r="LZT2" s="15"/>
      <c r="LZU2" s="15"/>
      <c r="LZV2" s="15"/>
      <c r="LZW2" s="15"/>
      <c r="LZX2" s="15"/>
      <c r="LZY2" s="15"/>
      <c r="LZZ2" s="15"/>
      <c r="MAA2" s="15"/>
      <c r="MAB2" s="15"/>
      <c r="MAC2" s="15"/>
      <c r="MAD2" s="15"/>
      <c r="MAE2" s="15"/>
      <c r="MAF2" s="15"/>
      <c r="MAG2" s="15"/>
      <c r="MAH2" s="15"/>
      <c r="MAI2" s="15"/>
      <c r="MAJ2" s="15"/>
      <c r="MAK2" s="15"/>
      <c r="MAL2" s="15"/>
      <c r="MAM2" s="15"/>
      <c r="MAN2" s="15"/>
      <c r="MAO2" s="15"/>
      <c r="MAP2" s="15"/>
      <c r="MAQ2" s="15"/>
      <c r="MAR2" s="15"/>
      <c r="MAS2" s="15"/>
      <c r="MAT2" s="15"/>
      <c r="MAU2" s="15"/>
      <c r="MAV2" s="15"/>
      <c r="MAW2" s="15"/>
      <c r="MAX2" s="15"/>
      <c r="MAY2" s="15"/>
      <c r="MAZ2" s="15"/>
      <c r="MBA2" s="15"/>
      <c r="MBB2" s="15"/>
      <c r="MBC2" s="15"/>
      <c r="MBD2" s="15"/>
      <c r="MBE2" s="15"/>
      <c r="MBF2" s="15"/>
      <c r="MBG2" s="15"/>
      <c r="MBH2" s="15"/>
      <c r="MBI2" s="15"/>
      <c r="MBJ2" s="15"/>
      <c r="MBK2" s="15"/>
      <c r="MBL2" s="15"/>
      <c r="MBM2" s="15"/>
      <c r="MBN2" s="15"/>
      <c r="MBO2" s="15"/>
      <c r="MBP2" s="15"/>
      <c r="MBQ2" s="15"/>
      <c r="MBR2" s="15"/>
      <c r="MBS2" s="15"/>
      <c r="MBT2" s="15"/>
      <c r="MBU2" s="15"/>
      <c r="MBV2" s="15"/>
      <c r="MBW2" s="15"/>
      <c r="MBX2" s="15"/>
      <c r="MBY2" s="15"/>
      <c r="MBZ2" s="15"/>
      <c r="MCA2" s="15"/>
      <c r="MCB2" s="15"/>
      <c r="MCC2" s="15"/>
      <c r="MCD2" s="15"/>
      <c r="MCE2" s="15"/>
      <c r="MCF2" s="15"/>
      <c r="MCG2" s="15"/>
      <c r="MCH2" s="15"/>
      <c r="MCI2" s="15"/>
      <c r="MCJ2" s="15"/>
      <c r="MCK2" s="15"/>
      <c r="MCL2" s="15"/>
      <c r="MCM2" s="15"/>
      <c r="MCN2" s="15"/>
      <c r="MCO2" s="15"/>
      <c r="MCP2" s="15"/>
      <c r="MCQ2" s="15"/>
      <c r="MCR2" s="15"/>
      <c r="MCS2" s="15"/>
      <c r="MCT2" s="15"/>
      <c r="MCU2" s="15"/>
      <c r="MCV2" s="15"/>
      <c r="MCW2" s="15"/>
      <c r="MCX2" s="15"/>
      <c r="MCY2" s="15"/>
      <c r="MCZ2" s="15"/>
      <c r="MDA2" s="15"/>
      <c r="MDB2" s="15"/>
      <c r="MDC2" s="15"/>
      <c r="MDD2" s="15"/>
      <c r="MDE2" s="15"/>
      <c r="MDF2" s="15"/>
      <c r="MDG2" s="15"/>
      <c r="MDH2" s="15"/>
      <c r="MDI2" s="15"/>
      <c r="MDJ2" s="15"/>
      <c r="MDK2" s="15"/>
      <c r="MDL2" s="15"/>
      <c r="MDM2" s="15"/>
      <c r="MDN2" s="15"/>
      <c r="MDO2" s="15"/>
      <c r="MDP2" s="15"/>
      <c r="MDQ2" s="15"/>
      <c r="MDR2" s="15"/>
      <c r="MDS2" s="15"/>
      <c r="MDT2" s="15"/>
      <c r="MDU2" s="15"/>
      <c r="MDV2" s="15"/>
      <c r="MDW2" s="15"/>
      <c r="MDX2" s="15"/>
      <c r="MDY2" s="15"/>
      <c r="MDZ2" s="15"/>
      <c r="MEA2" s="15"/>
      <c r="MEB2" s="15"/>
      <c r="MEC2" s="15"/>
      <c r="MED2" s="15"/>
      <c r="MEE2" s="15"/>
      <c r="MEF2" s="15"/>
      <c r="MEG2" s="15"/>
      <c r="MEH2" s="15"/>
      <c r="MEI2" s="15"/>
      <c r="MEJ2" s="15"/>
      <c r="MEK2" s="15"/>
      <c r="MEL2" s="15"/>
      <c r="MEM2" s="15"/>
      <c r="MEN2" s="15"/>
      <c r="MEO2" s="15"/>
      <c r="MEP2" s="15"/>
      <c r="MEQ2" s="15"/>
      <c r="MER2" s="15"/>
      <c r="MES2" s="15"/>
      <c r="MET2" s="15"/>
      <c r="MEU2" s="15"/>
      <c r="MEV2" s="15"/>
      <c r="MEW2" s="15"/>
      <c r="MEX2" s="15"/>
      <c r="MEY2" s="15"/>
      <c r="MEZ2" s="15"/>
      <c r="MFA2" s="15"/>
      <c r="MFB2" s="15"/>
      <c r="MFC2" s="15"/>
      <c r="MFD2" s="15"/>
      <c r="MFE2" s="15"/>
      <c r="MFF2" s="15"/>
      <c r="MFG2" s="15"/>
      <c r="MFH2" s="15"/>
      <c r="MFI2" s="15"/>
      <c r="MFJ2" s="15"/>
      <c r="MFK2" s="15"/>
      <c r="MFL2" s="15"/>
      <c r="MFM2" s="15"/>
      <c r="MFN2" s="15"/>
      <c r="MFO2" s="15"/>
      <c r="MFP2" s="15"/>
      <c r="MFQ2" s="15"/>
      <c r="MFR2" s="15"/>
      <c r="MFS2" s="15"/>
      <c r="MFT2" s="15"/>
      <c r="MFU2" s="15"/>
      <c r="MFV2" s="15"/>
      <c r="MFW2" s="15"/>
      <c r="MFX2" s="15"/>
      <c r="MFY2" s="15"/>
      <c r="MFZ2" s="15"/>
      <c r="MGA2" s="15"/>
      <c r="MGB2" s="15"/>
      <c r="MGC2" s="15"/>
      <c r="MGD2" s="15"/>
      <c r="MGE2" s="15"/>
      <c r="MGF2" s="15"/>
      <c r="MGG2" s="15"/>
      <c r="MGH2" s="15"/>
      <c r="MGI2" s="15"/>
      <c r="MGJ2" s="15"/>
      <c r="MGK2" s="15"/>
      <c r="MGL2" s="15"/>
      <c r="MGM2" s="15"/>
      <c r="MGN2" s="15"/>
      <c r="MGO2" s="15"/>
      <c r="MGP2" s="15"/>
      <c r="MGQ2" s="15"/>
      <c r="MGR2" s="15"/>
      <c r="MGS2" s="15"/>
      <c r="MGT2" s="15"/>
      <c r="MGU2" s="15"/>
      <c r="MGV2" s="15"/>
      <c r="MGW2" s="15"/>
      <c r="MGX2" s="15"/>
      <c r="MGY2" s="15"/>
      <c r="MGZ2" s="15"/>
      <c r="MHA2" s="15"/>
      <c r="MHB2" s="15"/>
      <c r="MHC2" s="15"/>
      <c r="MHD2" s="15"/>
      <c r="MHE2" s="15"/>
      <c r="MHF2" s="15"/>
      <c r="MHG2" s="15"/>
      <c r="MHH2" s="15"/>
      <c r="MHI2" s="15"/>
      <c r="MHJ2" s="15"/>
      <c r="MHK2" s="15"/>
      <c r="MHL2" s="15"/>
      <c r="MHM2" s="15"/>
      <c r="MHN2" s="15"/>
      <c r="MHO2" s="15"/>
      <c r="MHP2" s="15"/>
      <c r="MHQ2" s="15"/>
      <c r="MHR2" s="15"/>
      <c r="MHS2" s="15"/>
      <c r="MHT2" s="15"/>
      <c r="MHU2" s="15"/>
      <c r="MHV2" s="15"/>
      <c r="MHW2" s="15"/>
      <c r="MHX2" s="15"/>
      <c r="MHY2" s="15"/>
      <c r="MHZ2" s="15"/>
      <c r="MIA2" s="15"/>
      <c r="MIB2" s="15"/>
      <c r="MIC2" s="15"/>
      <c r="MID2" s="15"/>
      <c r="MIE2" s="15"/>
      <c r="MIF2" s="15"/>
      <c r="MIG2" s="15"/>
      <c r="MIH2" s="15"/>
      <c r="MII2" s="15"/>
      <c r="MIJ2" s="15"/>
      <c r="MIK2" s="15"/>
      <c r="MIL2" s="15"/>
      <c r="MIM2" s="15"/>
      <c r="MIN2" s="15"/>
      <c r="MIO2" s="15"/>
      <c r="MIP2" s="15"/>
      <c r="MIQ2" s="15"/>
      <c r="MIR2" s="15"/>
      <c r="MIS2" s="15"/>
      <c r="MIT2" s="15"/>
      <c r="MIU2" s="15"/>
      <c r="MIV2" s="15"/>
      <c r="MIW2" s="15"/>
      <c r="MIX2" s="15"/>
      <c r="MIY2" s="15"/>
      <c r="MIZ2" s="15"/>
      <c r="MJA2" s="15"/>
      <c r="MJB2" s="15"/>
      <c r="MJC2" s="15"/>
      <c r="MJD2" s="15"/>
      <c r="MJE2" s="15"/>
      <c r="MJF2" s="15"/>
      <c r="MJG2" s="15"/>
      <c r="MJH2" s="15"/>
      <c r="MJI2" s="15"/>
      <c r="MJJ2" s="15"/>
      <c r="MJK2" s="15"/>
      <c r="MJL2" s="15"/>
      <c r="MJM2" s="15"/>
      <c r="MJN2" s="15"/>
      <c r="MJO2" s="15"/>
      <c r="MJP2" s="15"/>
      <c r="MJQ2" s="15"/>
      <c r="MJR2" s="15"/>
      <c r="MJS2" s="15"/>
      <c r="MJT2" s="15"/>
      <c r="MJU2" s="15"/>
      <c r="MJV2" s="15"/>
      <c r="MJW2" s="15"/>
      <c r="MJX2" s="15"/>
      <c r="MJY2" s="15"/>
      <c r="MJZ2" s="15"/>
      <c r="MKA2" s="15"/>
      <c r="MKB2" s="15"/>
      <c r="MKC2" s="15"/>
      <c r="MKD2" s="15"/>
      <c r="MKE2" s="15"/>
      <c r="MKF2" s="15"/>
      <c r="MKG2" s="15"/>
      <c r="MKH2" s="15"/>
      <c r="MKI2" s="15"/>
      <c r="MKJ2" s="15"/>
      <c r="MKK2" s="15"/>
      <c r="MKL2" s="15"/>
      <c r="MKM2" s="15"/>
      <c r="MKN2" s="15"/>
      <c r="MKO2" s="15"/>
      <c r="MKP2" s="15"/>
      <c r="MKQ2" s="15"/>
      <c r="MKR2" s="15"/>
      <c r="MKS2" s="15"/>
      <c r="MKT2" s="15"/>
      <c r="MKU2" s="15"/>
      <c r="MKV2" s="15"/>
      <c r="MKW2" s="15"/>
      <c r="MKX2" s="15"/>
      <c r="MKY2" s="15"/>
      <c r="MKZ2" s="15"/>
      <c r="MLA2" s="15"/>
      <c r="MLB2" s="15"/>
      <c r="MLC2" s="15"/>
      <c r="MLD2" s="15"/>
      <c r="MLE2" s="15"/>
      <c r="MLF2" s="15"/>
      <c r="MLG2" s="15"/>
      <c r="MLH2" s="15"/>
      <c r="MLI2" s="15"/>
      <c r="MLJ2" s="15"/>
      <c r="MLK2" s="15"/>
      <c r="MLL2" s="15"/>
      <c r="MLM2" s="15"/>
      <c r="MLN2" s="15"/>
      <c r="MLO2" s="15"/>
      <c r="MLP2" s="15"/>
      <c r="MLQ2" s="15"/>
      <c r="MLR2" s="15"/>
      <c r="MLS2" s="15"/>
      <c r="MLT2" s="15"/>
      <c r="MLU2" s="15"/>
      <c r="MLV2" s="15"/>
      <c r="MLW2" s="15"/>
      <c r="MLX2" s="15"/>
      <c r="MLY2" s="15"/>
      <c r="MLZ2" s="15"/>
      <c r="MMA2" s="15"/>
      <c r="MMB2" s="15"/>
      <c r="MMC2" s="15"/>
      <c r="MMD2" s="15"/>
      <c r="MME2" s="15"/>
      <c r="MMF2" s="15"/>
      <c r="MMG2" s="15"/>
      <c r="MMH2" s="15"/>
      <c r="MMI2" s="15"/>
      <c r="MMJ2" s="15"/>
      <c r="MMK2" s="15"/>
      <c r="MML2" s="15"/>
      <c r="MMM2" s="15"/>
      <c r="MMN2" s="15"/>
      <c r="MMO2" s="15"/>
      <c r="MMP2" s="15"/>
      <c r="MMQ2" s="15"/>
      <c r="MMR2" s="15"/>
      <c r="MMS2" s="15"/>
      <c r="MMT2" s="15"/>
      <c r="MMU2" s="15"/>
      <c r="MMV2" s="15"/>
      <c r="MMW2" s="15"/>
      <c r="MMX2" s="15"/>
      <c r="MMY2" s="15"/>
      <c r="MMZ2" s="15"/>
      <c r="MNA2" s="15"/>
      <c r="MNB2" s="15"/>
      <c r="MNC2" s="15"/>
      <c r="MND2" s="15"/>
      <c r="MNE2" s="15"/>
      <c r="MNF2" s="15"/>
      <c r="MNG2" s="15"/>
      <c r="MNH2" s="15"/>
      <c r="MNI2" s="15"/>
      <c r="MNJ2" s="15"/>
      <c r="MNK2" s="15"/>
      <c r="MNL2" s="15"/>
      <c r="MNM2" s="15"/>
      <c r="MNN2" s="15"/>
      <c r="MNO2" s="15"/>
      <c r="MNP2" s="15"/>
      <c r="MNQ2" s="15"/>
      <c r="MNR2" s="15"/>
      <c r="MNS2" s="15"/>
      <c r="MNT2" s="15"/>
      <c r="MNU2" s="15"/>
      <c r="MNV2" s="15"/>
      <c r="MNW2" s="15"/>
      <c r="MNX2" s="15"/>
      <c r="MNY2" s="15"/>
      <c r="MNZ2" s="15"/>
      <c r="MOA2" s="15"/>
      <c r="MOB2" s="15"/>
      <c r="MOC2" s="15"/>
      <c r="MOD2" s="15"/>
      <c r="MOE2" s="15"/>
      <c r="MOF2" s="15"/>
      <c r="MOG2" s="15"/>
      <c r="MOH2" s="15"/>
      <c r="MOI2" s="15"/>
      <c r="MOJ2" s="15"/>
      <c r="MOK2" s="15"/>
      <c r="MOL2" s="15"/>
      <c r="MOM2" s="15"/>
      <c r="MON2" s="15"/>
      <c r="MOO2" s="15"/>
      <c r="MOP2" s="15"/>
      <c r="MOQ2" s="15"/>
      <c r="MOR2" s="15"/>
      <c r="MOS2" s="15"/>
      <c r="MOT2" s="15"/>
      <c r="MOU2" s="15"/>
      <c r="MOV2" s="15"/>
      <c r="MOW2" s="15"/>
      <c r="MOX2" s="15"/>
      <c r="MOY2" s="15"/>
      <c r="MOZ2" s="15"/>
      <c r="MPA2" s="15"/>
      <c r="MPB2" s="15"/>
      <c r="MPC2" s="15"/>
      <c r="MPD2" s="15"/>
      <c r="MPE2" s="15"/>
      <c r="MPF2" s="15"/>
      <c r="MPG2" s="15"/>
      <c r="MPH2" s="15"/>
      <c r="MPI2" s="15"/>
      <c r="MPJ2" s="15"/>
      <c r="MPK2" s="15"/>
      <c r="MPL2" s="15"/>
      <c r="MPM2" s="15"/>
      <c r="MPN2" s="15"/>
      <c r="MPO2" s="15"/>
      <c r="MPP2" s="15"/>
      <c r="MPQ2" s="15"/>
      <c r="MPR2" s="15"/>
      <c r="MPS2" s="15"/>
      <c r="MPT2" s="15"/>
      <c r="MPU2" s="15"/>
      <c r="MPV2" s="15"/>
      <c r="MPW2" s="15"/>
      <c r="MPX2" s="15"/>
      <c r="MPY2" s="15"/>
      <c r="MPZ2" s="15"/>
      <c r="MQA2" s="15"/>
      <c r="MQB2" s="15"/>
      <c r="MQC2" s="15"/>
      <c r="MQD2" s="15"/>
      <c r="MQE2" s="15"/>
      <c r="MQF2" s="15"/>
      <c r="MQG2" s="15"/>
      <c r="MQH2" s="15"/>
      <c r="MQI2" s="15"/>
      <c r="MQJ2" s="15"/>
      <c r="MQK2" s="15"/>
      <c r="MQL2" s="15"/>
      <c r="MQM2" s="15"/>
      <c r="MQN2" s="15"/>
      <c r="MQO2" s="15"/>
      <c r="MQP2" s="15"/>
      <c r="MQQ2" s="15"/>
      <c r="MQR2" s="15"/>
      <c r="MQS2" s="15"/>
      <c r="MQT2" s="15"/>
      <c r="MQU2" s="15"/>
      <c r="MQV2" s="15"/>
      <c r="MQW2" s="15"/>
      <c r="MQX2" s="15"/>
      <c r="MQY2" s="15"/>
      <c r="MQZ2" s="15"/>
      <c r="MRA2" s="15"/>
      <c r="MRB2" s="15"/>
      <c r="MRC2" s="15"/>
      <c r="MRD2" s="15"/>
      <c r="MRE2" s="15"/>
      <c r="MRF2" s="15"/>
      <c r="MRG2" s="15"/>
      <c r="MRH2" s="15"/>
      <c r="MRI2" s="15"/>
      <c r="MRJ2" s="15"/>
      <c r="MRK2" s="15"/>
      <c r="MRL2" s="15"/>
      <c r="MRM2" s="15"/>
      <c r="MRN2" s="15"/>
      <c r="MRO2" s="15"/>
      <c r="MRP2" s="15"/>
      <c r="MRQ2" s="15"/>
      <c r="MRR2" s="15"/>
      <c r="MRS2" s="15"/>
      <c r="MRT2" s="15"/>
      <c r="MRU2" s="15"/>
      <c r="MRV2" s="15"/>
      <c r="MRW2" s="15"/>
      <c r="MRX2" s="15"/>
      <c r="MRY2" s="15"/>
      <c r="MRZ2" s="15"/>
      <c r="MSA2" s="15"/>
      <c r="MSB2" s="15"/>
      <c r="MSC2" s="15"/>
      <c r="MSD2" s="15"/>
      <c r="MSE2" s="15"/>
      <c r="MSF2" s="15"/>
      <c r="MSG2" s="15"/>
      <c r="MSH2" s="15"/>
      <c r="MSI2" s="15"/>
      <c r="MSJ2" s="15"/>
      <c r="MSK2" s="15"/>
      <c r="MSL2" s="15"/>
      <c r="MSM2" s="15"/>
      <c r="MSN2" s="15"/>
      <c r="MSO2" s="15"/>
      <c r="MSP2" s="15"/>
      <c r="MSQ2" s="15"/>
      <c r="MSR2" s="15"/>
      <c r="MSS2" s="15"/>
      <c r="MST2" s="15"/>
      <c r="MSU2" s="15"/>
      <c r="MSV2" s="15"/>
      <c r="MSW2" s="15"/>
      <c r="MSX2" s="15"/>
      <c r="MSY2" s="15"/>
      <c r="MSZ2" s="15"/>
      <c r="MTA2" s="15"/>
      <c r="MTB2" s="15"/>
      <c r="MTC2" s="15"/>
      <c r="MTD2" s="15"/>
      <c r="MTE2" s="15"/>
      <c r="MTF2" s="15"/>
      <c r="MTG2" s="15"/>
      <c r="MTH2" s="15"/>
      <c r="MTI2" s="15"/>
      <c r="MTJ2" s="15"/>
      <c r="MTK2" s="15"/>
      <c r="MTL2" s="15"/>
      <c r="MTM2" s="15"/>
      <c r="MTN2" s="15"/>
      <c r="MTO2" s="15"/>
      <c r="MTP2" s="15"/>
      <c r="MTQ2" s="15"/>
      <c r="MTR2" s="15"/>
      <c r="MTS2" s="15"/>
      <c r="MTT2" s="15"/>
      <c r="MTU2" s="15"/>
      <c r="MTV2" s="15"/>
      <c r="MTW2" s="15"/>
      <c r="MTX2" s="15"/>
      <c r="MTY2" s="15"/>
      <c r="MTZ2" s="15"/>
      <c r="MUA2" s="15"/>
      <c r="MUB2" s="15"/>
      <c r="MUC2" s="15"/>
      <c r="MUD2" s="15"/>
      <c r="MUE2" s="15"/>
      <c r="MUF2" s="15"/>
      <c r="MUG2" s="15"/>
      <c r="MUH2" s="15"/>
      <c r="MUI2" s="15"/>
      <c r="MUJ2" s="15"/>
      <c r="MUK2" s="15"/>
      <c r="MUL2" s="15"/>
      <c r="MUM2" s="15"/>
      <c r="MUN2" s="15"/>
      <c r="MUO2" s="15"/>
      <c r="MUP2" s="15"/>
      <c r="MUQ2" s="15"/>
      <c r="MUR2" s="15"/>
      <c r="MUS2" s="15"/>
      <c r="MUT2" s="15"/>
      <c r="MUU2" s="15"/>
      <c r="MUV2" s="15"/>
      <c r="MUW2" s="15"/>
      <c r="MUX2" s="15"/>
      <c r="MUY2" s="15"/>
      <c r="MUZ2" s="15"/>
      <c r="MVA2" s="15"/>
      <c r="MVB2" s="15"/>
      <c r="MVC2" s="15"/>
      <c r="MVD2" s="15"/>
      <c r="MVE2" s="15"/>
      <c r="MVF2" s="15"/>
      <c r="MVG2" s="15"/>
      <c r="MVH2" s="15"/>
      <c r="MVI2" s="15"/>
      <c r="MVJ2" s="15"/>
      <c r="MVK2" s="15"/>
      <c r="MVL2" s="15"/>
      <c r="MVM2" s="15"/>
      <c r="MVN2" s="15"/>
      <c r="MVO2" s="15"/>
      <c r="MVP2" s="15"/>
      <c r="MVQ2" s="15"/>
      <c r="MVR2" s="15"/>
      <c r="MVS2" s="15"/>
      <c r="MVT2" s="15"/>
      <c r="MVU2" s="15"/>
      <c r="MVV2" s="15"/>
      <c r="MVW2" s="15"/>
      <c r="MVX2" s="15"/>
      <c r="MVY2" s="15"/>
      <c r="MVZ2" s="15"/>
      <c r="MWA2" s="15"/>
      <c r="MWB2" s="15"/>
      <c r="MWC2" s="15"/>
      <c r="MWD2" s="15"/>
      <c r="MWE2" s="15"/>
      <c r="MWF2" s="15"/>
      <c r="MWG2" s="15"/>
      <c r="MWH2" s="15"/>
      <c r="MWI2" s="15"/>
      <c r="MWJ2" s="15"/>
      <c r="MWK2" s="15"/>
      <c r="MWL2" s="15"/>
      <c r="MWM2" s="15"/>
      <c r="MWN2" s="15"/>
      <c r="MWO2" s="15"/>
      <c r="MWP2" s="15"/>
      <c r="MWQ2" s="15"/>
      <c r="MWR2" s="15"/>
      <c r="MWS2" s="15"/>
      <c r="MWT2" s="15"/>
      <c r="MWU2" s="15"/>
      <c r="MWV2" s="15"/>
      <c r="MWW2" s="15"/>
      <c r="MWX2" s="15"/>
      <c r="MWY2" s="15"/>
      <c r="MWZ2" s="15"/>
      <c r="MXA2" s="15"/>
      <c r="MXB2" s="15"/>
      <c r="MXC2" s="15"/>
      <c r="MXD2" s="15"/>
      <c r="MXE2" s="15"/>
      <c r="MXF2" s="15"/>
      <c r="MXG2" s="15"/>
      <c r="MXH2" s="15"/>
      <c r="MXI2" s="15"/>
      <c r="MXJ2" s="15"/>
      <c r="MXK2" s="15"/>
      <c r="MXL2" s="15"/>
      <c r="MXM2" s="15"/>
      <c r="MXN2" s="15"/>
      <c r="MXO2" s="15"/>
      <c r="MXP2" s="15"/>
      <c r="MXQ2" s="15"/>
      <c r="MXR2" s="15"/>
      <c r="MXS2" s="15"/>
      <c r="MXT2" s="15"/>
      <c r="MXU2" s="15"/>
      <c r="MXV2" s="15"/>
      <c r="MXW2" s="15"/>
      <c r="MXX2" s="15"/>
      <c r="MXY2" s="15"/>
      <c r="MXZ2" s="15"/>
      <c r="MYA2" s="15"/>
      <c r="MYB2" s="15"/>
      <c r="MYC2" s="15"/>
      <c r="MYD2" s="15"/>
      <c r="MYE2" s="15"/>
      <c r="MYF2" s="15"/>
      <c r="MYG2" s="15"/>
      <c r="MYH2" s="15"/>
      <c r="MYI2" s="15"/>
      <c r="MYJ2" s="15"/>
      <c r="MYK2" s="15"/>
      <c r="MYL2" s="15"/>
      <c r="MYM2" s="15"/>
      <c r="MYN2" s="15"/>
      <c r="MYO2" s="15"/>
      <c r="MYP2" s="15"/>
      <c r="MYQ2" s="15"/>
      <c r="MYR2" s="15"/>
      <c r="MYS2" s="15"/>
      <c r="MYT2" s="15"/>
      <c r="MYU2" s="15"/>
      <c r="MYV2" s="15"/>
      <c r="MYW2" s="15"/>
      <c r="MYX2" s="15"/>
      <c r="MYY2" s="15"/>
      <c r="MYZ2" s="15"/>
      <c r="MZA2" s="15"/>
      <c r="MZB2" s="15"/>
      <c r="MZC2" s="15"/>
      <c r="MZD2" s="15"/>
      <c r="MZE2" s="15"/>
      <c r="MZF2" s="15"/>
      <c r="MZG2" s="15"/>
      <c r="MZH2" s="15"/>
      <c r="MZI2" s="15"/>
      <c r="MZJ2" s="15"/>
      <c r="MZK2" s="15"/>
      <c r="MZL2" s="15"/>
      <c r="MZM2" s="15"/>
      <c r="MZN2" s="15"/>
      <c r="MZO2" s="15"/>
      <c r="MZP2" s="15"/>
      <c r="MZQ2" s="15"/>
      <c r="MZR2" s="15"/>
      <c r="MZS2" s="15"/>
      <c r="MZT2" s="15"/>
      <c r="MZU2" s="15"/>
      <c r="MZV2" s="15"/>
      <c r="MZW2" s="15"/>
      <c r="MZX2" s="15"/>
      <c r="MZY2" s="15"/>
      <c r="MZZ2" s="15"/>
      <c r="NAA2" s="15"/>
      <c r="NAB2" s="15"/>
      <c r="NAC2" s="15"/>
      <c r="NAD2" s="15"/>
      <c r="NAE2" s="15"/>
      <c r="NAF2" s="15"/>
      <c r="NAG2" s="15"/>
      <c r="NAH2" s="15"/>
      <c r="NAI2" s="15"/>
      <c r="NAJ2" s="15"/>
      <c r="NAK2" s="15"/>
      <c r="NAL2" s="15"/>
      <c r="NAM2" s="15"/>
      <c r="NAN2" s="15"/>
      <c r="NAO2" s="15"/>
      <c r="NAP2" s="15"/>
      <c r="NAQ2" s="15"/>
      <c r="NAR2" s="15"/>
      <c r="NAS2" s="15"/>
      <c r="NAT2" s="15"/>
      <c r="NAU2" s="15"/>
      <c r="NAV2" s="15"/>
      <c r="NAW2" s="15"/>
      <c r="NAX2" s="15"/>
      <c r="NAY2" s="15"/>
      <c r="NAZ2" s="15"/>
      <c r="NBA2" s="15"/>
      <c r="NBB2" s="15"/>
      <c r="NBC2" s="15"/>
      <c r="NBD2" s="15"/>
      <c r="NBE2" s="15"/>
      <c r="NBF2" s="15"/>
      <c r="NBG2" s="15"/>
      <c r="NBH2" s="15"/>
      <c r="NBI2" s="15"/>
      <c r="NBJ2" s="15"/>
      <c r="NBK2" s="15"/>
      <c r="NBL2" s="15"/>
      <c r="NBM2" s="15"/>
      <c r="NBN2" s="15"/>
      <c r="NBO2" s="15"/>
      <c r="NBP2" s="15"/>
      <c r="NBQ2" s="15"/>
      <c r="NBR2" s="15"/>
      <c r="NBS2" s="15"/>
      <c r="NBT2" s="15"/>
      <c r="NBU2" s="15"/>
      <c r="NBV2" s="15"/>
      <c r="NBW2" s="15"/>
      <c r="NBX2" s="15"/>
      <c r="NBY2" s="15"/>
      <c r="NBZ2" s="15"/>
      <c r="NCA2" s="15"/>
      <c r="NCB2" s="15"/>
      <c r="NCC2" s="15"/>
      <c r="NCD2" s="15"/>
      <c r="NCE2" s="15"/>
      <c r="NCF2" s="15"/>
      <c r="NCG2" s="15"/>
      <c r="NCH2" s="15"/>
      <c r="NCI2" s="15"/>
      <c r="NCJ2" s="15"/>
      <c r="NCK2" s="15"/>
      <c r="NCL2" s="15"/>
      <c r="NCM2" s="15"/>
      <c r="NCN2" s="15"/>
      <c r="NCO2" s="15"/>
      <c r="NCP2" s="15"/>
      <c r="NCQ2" s="15"/>
      <c r="NCR2" s="15"/>
      <c r="NCS2" s="15"/>
      <c r="NCT2" s="15"/>
      <c r="NCU2" s="15"/>
      <c r="NCV2" s="15"/>
      <c r="NCW2" s="15"/>
      <c r="NCX2" s="15"/>
      <c r="NCY2" s="15"/>
      <c r="NCZ2" s="15"/>
      <c r="NDA2" s="15"/>
      <c r="NDB2" s="15"/>
      <c r="NDC2" s="15"/>
      <c r="NDD2" s="15"/>
      <c r="NDE2" s="15"/>
      <c r="NDF2" s="15"/>
      <c r="NDG2" s="15"/>
      <c r="NDH2" s="15"/>
      <c r="NDI2" s="15"/>
      <c r="NDJ2" s="15"/>
      <c r="NDK2" s="15"/>
      <c r="NDL2" s="15"/>
      <c r="NDM2" s="15"/>
      <c r="NDN2" s="15"/>
      <c r="NDO2" s="15"/>
      <c r="NDP2" s="15"/>
      <c r="NDQ2" s="15"/>
      <c r="NDR2" s="15"/>
      <c r="NDS2" s="15"/>
      <c r="NDT2" s="15"/>
      <c r="NDU2" s="15"/>
      <c r="NDV2" s="15"/>
      <c r="NDW2" s="15"/>
      <c r="NDX2" s="15"/>
      <c r="NDY2" s="15"/>
      <c r="NDZ2" s="15"/>
      <c r="NEA2" s="15"/>
      <c r="NEB2" s="15"/>
      <c r="NEC2" s="15"/>
      <c r="NED2" s="15"/>
      <c r="NEE2" s="15"/>
      <c r="NEF2" s="15"/>
      <c r="NEG2" s="15"/>
      <c r="NEH2" s="15"/>
      <c r="NEI2" s="15"/>
      <c r="NEJ2" s="15"/>
      <c r="NEK2" s="15"/>
      <c r="NEL2" s="15"/>
      <c r="NEM2" s="15"/>
      <c r="NEN2" s="15"/>
      <c r="NEO2" s="15"/>
      <c r="NEP2" s="15"/>
      <c r="NEQ2" s="15"/>
      <c r="NER2" s="15"/>
      <c r="NES2" s="15"/>
      <c r="NET2" s="15"/>
      <c r="NEU2" s="15"/>
      <c r="NEV2" s="15"/>
      <c r="NEW2" s="15"/>
      <c r="NEX2" s="15"/>
      <c r="NEY2" s="15"/>
      <c r="NEZ2" s="15"/>
      <c r="NFA2" s="15"/>
      <c r="NFB2" s="15"/>
      <c r="NFC2" s="15"/>
      <c r="NFD2" s="15"/>
      <c r="NFE2" s="15"/>
      <c r="NFF2" s="15"/>
      <c r="NFG2" s="15"/>
      <c r="NFH2" s="15"/>
      <c r="NFI2" s="15"/>
      <c r="NFJ2" s="15"/>
      <c r="NFK2" s="15"/>
      <c r="NFL2" s="15"/>
      <c r="NFM2" s="15"/>
      <c r="NFN2" s="15"/>
      <c r="NFO2" s="15"/>
      <c r="NFP2" s="15"/>
      <c r="NFQ2" s="15"/>
      <c r="NFR2" s="15"/>
      <c r="NFS2" s="15"/>
      <c r="NFT2" s="15"/>
      <c r="NFU2" s="15"/>
      <c r="NFV2" s="15"/>
      <c r="NFW2" s="15"/>
      <c r="NFX2" s="15"/>
      <c r="NFY2" s="15"/>
      <c r="NFZ2" s="15"/>
      <c r="NGA2" s="15"/>
      <c r="NGB2" s="15"/>
      <c r="NGC2" s="15"/>
      <c r="NGD2" s="15"/>
      <c r="NGE2" s="15"/>
      <c r="NGF2" s="15"/>
      <c r="NGG2" s="15"/>
      <c r="NGH2" s="15"/>
      <c r="NGI2" s="15"/>
      <c r="NGJ2" s="15"/>
      <c r="NGK2" s="15"/>
      <c r="NGL2" s="15"/>
      <c r="NGM2" s="15"/>
      <c r="NGN2" s="15"/>
      <c r="NGO2" s="15"/>
      <c r="NGP2" s="15"/>
      <c r="NGQ2" s="15"/>
      <c r="NGR2" s="15"/>
      <c r="NGS2" s="15"/>
      <c r="NGT2" s="15"/>
      <c r="NGU2" s="15"/>
      <c r="NGV2" s="15"/>
      <c r="NGW2" s="15"/>
      <c r="NGX2" s="15"/>
      <c r="NGY2" s="15"/>
      <c r="NGZ2" s="15"/>
      <c r="NHA2" s="15"/>
      <c r="NHB2" s="15"/>
      <c r="NHC2" s="15"/>
      <c r="NHD2" s="15"/>
      <c r="NHE2" s="15"/>
      <c r="NHF2" s="15"/>
      <c r="NHG2" s="15"/>
      <c r="NHH2" s="15"/>
      <c r="NHI2" s="15"/>
      <c r="NHJ2" s="15"/>
      <c r="NHK2" s="15"/>
      <c r="NHL2" s="15"/>
      <c r="NHM2" s="15"/>
      <c r="NHN2" s="15"/>
      <c r="NHO2" s="15"/>
      <c r="NHP2" s="15"/>
      <c r="NHQ2" s="15"/>
      <c r="NHR2" s="15"/>
      <c r="NHS2" s="15"/>
      <c r="NHT2" s="15"/>
      <c r="NHU2" s="15"/>
      <c r="NHV2" s="15"/>
      <c r="NHW2" s="15"/>
      <c r="NHX2" s="15"/>
      <c r="NHY2" s="15"/>
      <c r="NHZ2" s="15"/>
      <c r="NIA2" s="15"/>
      <c r="NIB2" s="15"/>
      <c r="NIC2" s="15"/>
      <c r="NID2" s="15"/>
      <c r="NIE2" s="15"/>
      <c r="NIF2" s="15"/>
      <c r="NIG2" s="15"/>
      <c r="NIH2" s="15"/>
      <c r="NII2" s="15"/>
      <c r="NIJ2" s="15"/>
      <c r="NIK2" s="15"/>
      <c r="NIL2" s="15"/>
      <c r="NIM2" s="15"/>
      <c r="NIN2" s="15"/>
      <c r="NIO2" s="15"/>
      <c r="NIP2" s="15"/>
      <c r="NIQ2" s="15"/>
      <c r="NIR2" s="15"/>
      <c r="NIS2" s="15"/>
      <c r="NIT2" s="15"/>
      <c r="NIU2" s="15"/>
      <c r="NIV2" s="15"/>
      <c r="NIW2" s="15"/>
      <c r="NIX2" s="15"/>
      <c r="NIY2" s="15"/>
      <c r="NIZ2" s="15"/>
      <c r="NJA2" s="15"/>
      <c r="NJB2" s="15"/>
      <c r="NJC2" s="15"/>
      <c r="NJD2" s="15"/>
      <c r="NJE2" s="15"/>
      <c r="NJF2" s="15"/>
      <c r="NJG2" s="15"/>
      <c r="NJH2" s="15"/>
      <c r="NJI2" s="15"/>
      <c r="NJJ2" s="15"/>
      <c r="NJK2" s="15"/>
      <c r="NJL2" s="15"/>
      <c r="NJM2" s="15"/>
      <c r="NJN2" s="15"/>
      <c r="NJO2" s="15"/>
      <c r="NJP2" s="15"/>
      <c r="NJQ2" s="15"/>
      <c r="NJR2" s="15"/>
      <c r="NJS2" s="15"/>
      <c r="NJT2" s="15"/>
      <c r="NJU2" s="15"/>
      <c r="NJV2" s="15"/>
      <c r="NJW2" s="15"/>
      <c r="NJX2" s="15"/>
      <c r="NJY2" s="15"/>
      <c r="NJZ2" s="15"/>
      <c r="NKA2" s="15"/>
      <c r="NKB2" s="15"/>
      <c r="NKC2" s="15"/>
      <c r="NKD2" s="15"/>
      <c r="NKE2" s="15"/>
      <c r="NKF2" s="15"/>
      <c r="NKG2" s="15"/>
      <c r="NKH2" s="15"/>
      <c r="NKI2" s="15"/>
      <c r="NKJ2" s="15"/>
      <c r="NKK2" s="15"/>
      <c r="NKL2" s="15"/>
      <c r="NKM2" s="15"/>
      <c r="NKN2" s="15"/>
      <c r="NKO2" s="15"/>
      <c r="NKP2" s="15"/>
      <c r="NKQ2" s="15"/>
      <c r="NKR2" s="15"/>
      <c r="NKS2" s="15"/>
      <c r="NKT2" s="15"/>
      <c r="NKU2" s="15"/>
      <c r="NKV2" s="15"/>
      <c r="NKW2" s="15"/>
      <c r="NKX2" s="15"/>
      <c r="NKY2" s="15"/>
      <c r="NKZ2" s="15"/>
      <c r="NLA2" s="15"/>
      <c r="NLB2" s="15"/>
      <c r="NLC2" s="15"/>
      <c r="NLD2" s="15"/>
      <c r="NLE2" s="15"/>
      <c r="NLF2" s="15"/>
      <c r="NLG2" s="15"/>
      <c r="NLH2" s="15"/>
      <c r="NLI2" s="15"/>
      <c r="NLJ2" s="15"/>
      <c r="NLK2" s="15"/>
      <c r="NLL2" s="15"/>
      <c r="NLM2" s="15"/>
      <c r="NLN2" s="15"/>
      <c r="NLO2" s="15"/>
      <c r="NLP2" s="15"/>
      <c r="NLQ2" s="15"/>
      <c r="NLR2" s="15"/>
      <c r="NLS2" s="15"/>
      <c r="NLT2" s="15"/>
      <c r="NLU2" s="15"/>
      <c r="NLV2" s="15"/>
      <c r="NLW2" s="15"/>
      <c r="NLX2" s="15"/>
      <c r="NLY2" s="15"/>
      <c r="NLZ2" s="15"/>
      <c r="NMA2" s="15"/>
      <c r="NMB2" s="15"/>
      <c r="NMC2" s="15"/>
      <c r="NMD2" s="15"/>
      <c r="NME2" s="15"/>
      <c r="NMF2" s="15"/>
      <c r="NMG2" s="15"/>
      <c r="NMH2" s="15"/>
      <c r="NMI2" s="15"/>
      <c r="NMJ2" s="15"/>
      <c r="NMK2" s="15"/>
      <c r="NML2" s="15"/>
      <c r="NMM2" s="15"/>
      <c r="NMN2" s="15"/>
      <c r="NMO2" s="15"/>
      <c r="NMP2" s="15"/>
      <c r="NMQ2" s="15"/>
      <c r="NMR2" s="15"/>
      <c r="NMS2" s="15"/>
      <c r="NMT2" s="15"/>
      <c r="NMU2" s="15"/>
      <c r="NMV2" s="15"/>
      <c r="NMW2" s="15"/>
      <c r="NMX2" s="15"/>
      <c r="NMY2" s="15"/>
      <c r="NMZ2" s="15"/>
      <c r="NNA2" s="15"/>
      <c r="NNB2" s="15"/>
      <c r="NNC2" s="15"/>
      <c r="NND2" s="15"/>
      <c r="NNE2" s="15"/>
      <c r="NNF2" s="15"/>
      <c r="NNG2" s="15"/>
      <c r="NNH2" s="15"/>
      <c r="NNI2" s="15"/>
      <c r="NNJ2" s="15"/>
      <c r="NNK2" s="15"/>
      <c r="NNL2" s="15"/>
      <c r="NNM2" s="15"/>
      <c r="NNN2" s="15"/>
      <c r="NNO2" s="15"/>
      <c r="NNP2" s="15"/>
      <c r="NNQ2" s="15"/>
      <c r="NNR2" s="15"/>
      <c r="NNS2" s="15"/>
      <c r="NNT2" s="15"/>
      <c r="NNU2" s="15"/>
      <c r="NNV2" s="15"/>
      <c r="NNW2" s="15"/>
      <c r="NNX2" s="15"/>
      <c r="NNY2" s="15"/>
      <c r="NNZ2" s="15"/>
      <c r="NOA2" s="15"/>
      <c r="NOB2" s="15"/>
      <c r="NOC2" s="15"/>
      <c r="NOD2" s="15"/>
      <c r="NOE2" s="15"/>
      <c r="NOF2" s="15"/>
      <c r="NOG2" s="15"/>
      <c r="NOH2" s="15"/>
      <c r="NOI2" s="15"/>
      <c r="NOJ2" s="15"/>
      <c r="NOK2" s="15"/>
      <c r="NOL2" s="15"/>
      <c r="NOM2" s="15"/>
      <c r="NON2" s="15"/>
      <c r="NOO2" s="15"/>
      <c r="NOP2" s="15"/>
      <c r="NOQ2" s="15"/>
      <c r="NOR2" s="15"/>
      <c r="NOS2" s="15"/>
      <c r="NOT2" s="15"/>
      <c r="NOU2" s="15"/>
      <c r="NOV2" s="15"/>
      <c r="NOW2" s="15"/>
      <c r="NOX2" s="15"/>
      <c r="NOY2" s="15"/>
      <c r="NOZ2" s="15"/>
      <c r="NPA2" s="15"/>
      <c r="NPB2" s="15"/>
      <c r="NPC2" s="15"/>
      <c r="NPD2" s="15"/>
      <c r="NPE2" s="15"/>
      <c r="NPF2" s="15"/>
      <c r="NPG2" s="15"/>
      <c r="NPH2" s="15"/>
      <c r="NPI2" s="15"/>
      <c r="NPJ2" s="15"/>
      <c r="NPK2" s="15"/>
      <c r="NPL2" s="15"/>
      <c r="NPM2" s="15"/>
      <c r="NPN2" s="15"/>
      <c r="NPO2" s="15"/>
      <c r="NPP2" s="15"/>
      <c r="NPQ2" s="15"/>
      <c r="NPR2" s="15"/>
      <c r="NPS2" s="15"/>
      <c r="NPT2" s="15"/>
      <c r="NPU2" s="15"/>
      <c r="NPV2" s="15"/>
      <c r="NPW2" s="15"/>
      <c r="NPX2" s="15"/>
      <c r="NPY2" s="15"/>
      <c r="NPZ2" s="15"/>
      <c r="NQA2" s="15"/>
      <c r="NQB2" s="15"/>
      <c r="NQC2" s="15"/>
      <c r="NQD2" s="15"/>
      <c r="NQE2" s="15"/>
      <c r="NQF2" s="15"/>
      <c r="NQG2" s="15"/>
      <c r="NQH2" s="15"/>
      <c r="NQI2" s="15"/>
      <c r="NQJ2" s="15"/>
      <c r="NQK2" s="15"/>
      <c r="NQL2" s="15"/>
      <c r="NQM2" s="15"/>
      <c r="NQN2" s="15"/>
      <c r="NQO2" s="15"/>
      <c r="NQP2" s="15"/>
      <c r="NQQ2" s="15"/>
      <c r="NQR2" s="15"/>
      <c r="NQS2" s="15"/>
      <c r="NQT2" s="15"/>
      <c r="NQU2" s="15"/>
      <c r="NQV2" s="15"/>
      <c r="NQW2" s="15"/>
      <c r="NQX2" s="15"/>
      <c r="NQY2" s="15"/>
      <c r="NQZ2" s="15"/>
      <c r="NRA2" s="15"/>
      <c r="NRB2" s="15"/>
      <c r="NRC2" s="15"/>
      <c r="NRD2" s="15"/>
      <c r="NRE2" s="15"/>
      <c r="NRF2" s="15"/>
      <c r="NRG2" s="15"/>
      <c r="NRH2" s="15"/>
      <c r="NRI2" s="15"/>
      <c r="NRJ2" s="15"/>
      <c r="NRK2" s="15"/>
      <c r="NRL2" s="15"/>
      <c r="NRM2" s="15"/>
      <c r="NRN2" s="15"/>
      <c r="NRO2" s="15"/>
      <c r="NRP2" s="15"/>
      <c r="NRQ2" s="15"/>
      <c r="NRR2" s="15"/>
      <c r="NRS2" s="15"/>
      <c r="NRT2" s="15"/>
      <c r="NRU2" s="15"/>
      <c r="NRV2" s="15"/>
      <c r="NRW2" s="15"/>
      <c r="NRX2" s="15"/>
      <c r="NRY2" s="15"/>
      <c r="NRZ2" s="15"/>
      <c r="NSA2" s="15"/>
      <c r="NSB2" s="15"/>
      <c r="NSC2" s="15"/>
      <c r="NSD2" s="15"/>
      <c r="NSE2" s="15"/>
      <c r="NSF2" s="15"/>
      <c r="NSG2" s="15"/>
      <c r="NSH2" s="15"/>
      <c r="NSI2" s="15"/>
      <c r="NSJ2" s="15"/>
      <c r="NSK2" s="15"/>
      <c r="NSL2" s="15"/>
      <c r="NSM2" s="15"/>
      <c r="NSN2" s="15"/>
      <c r="NSO2" s="15"/>
      <c r="NSP2" s="15"/>
      <c r="NSQ2" s="15"/>
      <c r="NSR2" s="15"/>
      <c r="NSS2" s="15"/>
      <c r="NST2" s="15"/>
      <c r="NSU2" s="15"/>
      <c r="NSV2" s="15"/>
      <c r="NSW2" s="15"/>
      <c r="NSX2" s="15"/>
      <c r="NSY2" s="15"/>
      <c r="NSZ2" s="15"/>
      <c r="NTA2" s="15"/>
      <c r="NTB2" s="15"/>
      <c r="NTC2" s="15"/>
      <c r="NTD2" s="15"/>
      <c r="NTE2" s="15"/>
      <c r="NTF2" s="15"/>
      <c r="NTG2" s="15"/>
      <c r="NTH2" s="15"/>
      <c r="NTI2" s="15"/>
      <c r="NTJ2" s="15"/>
      <c r="NTK2" s="15"/>
      <c r="NTL2" s="15"/>
      <c r="NTM2" s="15"/>
      <c r="NTN2" s="15"/>
      <c r="NTO2" s="15"/>
      <c r="NTP2" s="15"/>
      <c r="NTQ2" s="15"/>
      <c r="NTR2" s="15"/>
      <c r="NTS2" s="15"/>
      <c r="NTT2" s="15"/>
      <c r="NTU2" s="15"/>
      <c r="NTV2" s="15"/>
      <c r="NTW2" s="15"/>
      <c r="NTX2" s="15"/>
      <c r="NTY2" s="15"/>
      <c r="NTZ2" s="15"/>
      <c r="NUA2" s="15"/>
      <c r="NUB2" s="15"/>
      <c r="NUC2" s="15"/>
      <c r="NUD2" s="15"/>
      <c r="NUE2" s="15"/>
      <c r="NUF2" s="15"/>
      <c r="NUG2" s="15"/>
      <c r="NUH2" s="15"/>
      <c r="NUI2" s="15"/>
      <c r="NUJ2" s="15"/>
      <c r="NUK2" s="15"/>
      <c r="NUL2" s="15"/>
      <c r="NUM2" s="15"/>
      <c r="NUN2" s="15"/>
      <c r="NUO2" s="15"/>
      <c r="NUP2" s="15"/>
      <c r="NUQ2" s="15"/>
      <c r="NUR2" s="15"/>
      <c r="NUS2" s="15"/>
      <c r="NUT2" s="15"/>
      <c r="NUU2" s="15"/>
      <c r="NUV2" s="15"/>
      <c r="NUW2" s="15"/>
      <c r="NUX2" s="15"/>
      <c r="NUY2" s="15"/>
      <c r="NUZ2" s="15"/>
      <c r="NVA2" s="15"/>
      <c r="NVB2" s="15"/>
      <c r="NVC2" s="15"/>
      <c r="NVD2" s="15"/>
      <c r="NVE2" s="15"/>
      <c r="NVF2" s="15"/>
      <c r="NVG2" s="15"/>
      <c r="NVH2" s="15"/>
      <c r="NVI2" s="15"/>
      <c r="NVJ2" s="15"/>
      <c r="NVK2" s="15"/>
      <c r="NVL2" s="15"/>
      <c r="NVM2" s="15"/>
      <c r="NVN2" s="15"/>
      <c r="NVO2" s="15"/>
      <c r="NVP2" s="15"/>
      <c r="NVQ2" s="15"/>
      <c r="NVR2" s="15"/>
      <c r="NVS2" s="15"/>
      <c r="NVT2" s="15"/>
      <c r="NVU2" s="15"/>
      <c r="NVV2" s="15"/>
      <c r="NVW2" s="15"/>
      <c r="NVX2" s="15"/>
      <c r="NVY2" s="15"/>
      <c r="NVZ2" s="15"/>
      <c r="NWA2" s="15"/>
      <c r="NWB2" s="15"/>
      <c r="NWC2" s="15"/>
      <c r="NWD2" s="15"/>
      <c r="NWE2" s="15"/>
      <c r="NWF2" s="15"/>
      <c r="NWG2" s="15"/>
      <c r="NWH2" s="15"/>
      <c r="NWI2" s="15"/>
      <c r="NWJ2" s="15"/>
      <c r="NWK2" s="15"/>
      <c r="NWL2" s="15"/>
      <c r="NWM2" s="15"/>
      <c r="NWN2" s="15"/>
      <c r="NWO2" s="15"/>
      <c r="NWP2" s="15"/>
      <c r="NWQ2" s="15"/>
      <c r="NWR2" s="15"/>
      <c r="NWS2" s="15"/>
      <c r="NWT2" s="15"/>
      <c r="NWU2" s="15"/>
      <c r="NWV2" s="15"/>
      <c r="NWW2" s="15"/>
      <c r="NWX2" s="15"/>
      <c r="NWY2" s="15"/>
      <c r="NWZ2" s="15"/>
      <c r="NXA2" s="15"/>
      <c r="NXB2" s="15"/>
      <c r="NXC2" s="15"/>
      <c r="NXD2" s="15"/>
      <c r="NXE2" s="15"/>
      <c r="NXF2" s="15"/>
      <c r="NXG2" s="15"/>
      <c r="NXH2" s="15"/>
      <c r="NXI2" s="15"/>
      <c r="NXJ2" s="15"/>
      <c r="NXK2" s="15"/>
      <c r="NXL2" s="15"/>
      <c r="NXM2" s="15"/>
      <c r="NXN2" s="15"/>
      <c r="NXO2" s="15"/>
      <c r="NXP2" s="15"/>
      <c r="NXQ2" s="15"/>
      <c r="NXR2" s="15"/>
      <c r="NXS2" s="15"/>
      <c r="NXT2" s="15"/>
      <c r="NXU2" s="15"/>
      <c r="NXV2" s="15"/>
      <c r="NXW2" s="15"/>
      <c r="NXX2" s="15"/>
      <c r="NXY2" s="15"/>
      <c r="NXZ2" s="15"/>
      <c r="NYA2" s="15"/>
      <c r="NYB2" s="15"/>
      <c r="NYC2" s="15"/>
      <c r="NYD2" s="15"/>
      <c r="NYE2" s="15"/>
      <c r="NYF2" s="15"/>
      <c r="NYG2" s="15"/>
      <c r="NYH2" s="15"/>
      <c r="NYI2" s="15"/>
      <c r="NYJ2" s="15"/>
      <c r="NYK2" s="15"/>
      <c r="NYL2" s="15"/>
      <c r="NYM2" s="15"/>
      <c r="NYN2" s="15"/>
      <c r="NYO2" s="15"/>
      <c r="NYP2" s="15"/>
      <c r="NYQ2" s="15"/>
      <c r="NYR2" s="15"/>
      <c r="NYS2" s="15"/>
      <c r="NYT2" s="15"/>
      <c r="NYU2" s="15"/>
      <c r="NYV2" s="15"/>
      <c r="NYW2" s="15"/>
      <c r="NYX2" s="15"/>
      <c r="NYY2" s="15"/>
      <c r="NYZ2" s="15"/>
      <c r="NZA2" s="15"/>
      <c r="NZB2" s="15"/>
      <c r="NZC2" s="15"/>
      <c r="NZD2" s="15"/>
      <c r="NZE2" s="15"/>
      <c r="NZF2" s="15"/>
      <c r="NZG2" s="15"/>
      <c r="NZH2" s="15"/>
      <c r="NZI2" s="15"/>
      <c r="NZJ2" s="15"/>
      <c r="NZK2" s="15"/>
      <c r="NZL2" s="15"/>
      <c r="NZM2" s="15"/>
      <c r="NZN2" s="15"/>
      <c r="NZO2" s="15"/>
      <c r="NZP2" s="15"/>
      <c r="NZQ2" s="15"/>
      <c r="NZR2" s="15"/>
      <c r="NZS2" s="15"/>
      <c r="NZT2" s="15"/>
      <c r="NZU2" s="15"/>
      <c r="NZV2" s="15"/>
      <c r="NZW2" s="15"/>
      <c r="NZX2" s="15"/>
      <c r="NZY2" s="15"/>
      <c r="NZZ2" s="15"/>
      <c r="OAA2" s="15"/>
      <c r="OAB2" s="15"/>
      <c r="OAC2" s="15"/>
      <c r="OAD2" s="15"/>
      <c r="OAE2" s="15"/>
      <c r="OAF2" s="15"/>
      <c r="OAG2" s="15"/>
      <c r="OAH2" s="15"/>
      <c r="OAI2" s="15"/>
      <c r="OAJ2" s="15"/>
      <c r="OAK2" s="15"/>
      <c r="OAL2" s="15"/>
      <c r="OAM2" s="15"/>
      <c r="OAN2" s="15"/>
      <c r="OAO2" s="15"/>
      <c r="OAP2" s="15"/>
      <c r="OAQ2" s="15"/>
      <c r="OAR2" s="15"/>
      <c r="OAS2" s="15"/>
      <c r="OAT2" s="15"/>
      <c r="OAU2" s="15"/>
      <c r="OAV2" s="15"/>
      <c r="OAW2" s="15"/>
      <c r="OAX2" s="15"/>
      <c r="OAY2" s="15"/>
      <c r="OAZ2" s="15"/>
      <c r="OBA2" s="15"/>
      <c r="OBB2" s="15"/>
      <c r="OBC2" s="15"/>
      <c r="OBD2" s="15"/>
      <c r="OBE2" s="15"/>
      <c r="OBF2" s="15"/>
      <c r="OBG2" s="15"/>
      <c r="OBH2" s="15"/>
      <c r="OBI2" s="15"/>
      <c r="OBJ2" s="15"/>
      <c r="OBK2" s="15"/>
      <c r="OBL2" s="15"/>
      <c r="OBM2" s="15"/>
      <c r="OBN2" s="15"/>
      <c r="OBO2" s="15"/>
      <c r="OBP2" s="15"/>
      <c r="OBQ2" s="15"/>
      <c r="OBR2" s="15"/>
      <c r="OBS2" s="15"/>
      <c r="OBT2" s="15"/>
      <c r="OBU2" s="15"/>
      <c r="OBV2" s="15"/>
      <c r="OBW2" s="15"/>
      <c r="OBX2" s="15"/>
      <c r="OBY2" s="15"/>
      <c r="OBZ2" s="15"/>
      <c r="OCA2" s="15"/>
      <c r="OCB2" s="15"/>
      <c r="OCC2" s="15"/>
      <c r="OCD2" s="15"/>
      <c r="OCE2" s="15"/>
      <c r="OCF2" s="15"/>
      <c r="OCG2" s="15"/>
      <c r="OCH2" s="15"/>
      <c r="OCI2" s="15"/>
      <c r="OCJ2" s="15"/>
      <c r="OCK2" s="15"/>
      <c r="OCL2" s="15"/>
      <c r="OCM2" s="15"/>
      <c r="OCN2" s="15"/>
      <c r="OCO2" s="15"/>
      <c r="OCP2" s="15"/>
      <c r="OCQ2" s="15"/>
      <c r="OCR2" s="15"/>
      <c r="OCS2" s="15"/>
      <c r="OCT2" s="15"/>
      <c r="OCU2" s="15"/>
      <c r="OCV2" s="15"/>
      <c r="OCW2" s="15"/>
      <c r="OCX2" s="15"/>
      <c r="OCY2" s="15"/>
      <c r="OCZ2" s="15"/>
      <c r="ODA2" s="15"/>
      <c r="ODB2" s="15"/>
      <c r="ODC2" s="15"/>
      <c r="ODD2" s="15"/>
      <c r="ODE2" s="15"/>
      <c r="ODF2" s="15"/>
      <c r="ODG2" s="15"/>
      <c r="ODH2" s="15"/>
      <c r="ODI2" s="15"/>
      <c r="ODJ2" s="15"/>
      <c r="ODK2" s="15"/>
      <c r="ODL2" s="15"/>
      <c r="ODM2" s="15"/>
      <c r="ODN2" s="15"/>
      <c r="ODO2" s="15"/>
      <c r="ODP2" s="15"/>
      <c r="ODQ2" s="15"/>
      <c r="ODR2" s="15"/>
      <c r="ODS2" s="15"/>
      <c r="ODT2" s="15"/>
      <c r="ODU2" s="15"/>
      <c r="ODV2" s="15"/>
      <c r="ODW2" s="15"/>
      <c r="ODX2" s="15"/>
      <c r="ODY2" s="15"/>
      <c r="ODZ2" s="15"/>
      <c r="OEA2" s="15"/>
      <c r="OEB2" s="15"/>
      <c r="OEC2" s="15"/>
      <c r="OED2" s="15"/>
      <c r="OEE2" s="15"/>
      <c r="OEF2" s="15"/>
      <c r="OEG2" s="15"/>
      <c r="OEH2" s="15"/>
      <c r="OEI2" s="15"/>
      <c r="OEJ2" s="15"/>
      <c r="OEK2" s="15"/>
      <c r="OEL2" s="15"/>
      <c r="OEM2" s="15"/>
      <c r="OEN2" s="15"/>
      <c r="OEO2" s="15"/>
      <c r="OEP2" s="15"/>
      <c r="OEQ2" s="15"/>
      <c r="OER2" s="15"/>
      <c r="OES2" s="15"/>
      <c r="OET2" s="15"/>
      <c r="OEU2" s="15"/>
      <c r="OEV2" s="15"/>
      <c r="OEW2" s="15"/>
      <c r="OEX2" s="15"/>
      <c r="OEY2" s="15"/>
      <c r="OEZ2" s="15"/>
      <c r="OFA2" s="15"/>
      <c r="OFB2" s="15"/>
      <c r="OFC2" s="15"/>
      <c r="OFD2" s="15"/>
      <c r="OFE2" s="15"/>
      <c r="OFF2" s="15"/>
      <c r="OFG2" s="15"/>
      <c r="OFH2" s="15"/>
      <c r="OFI2" s="15"/>
      <c r="OFJ2" s="15"/>
      <c r="OFK2" s="15"/>
      <c r="OFL2" s="15"/>
      <c r="OFM2" s="15"/>
      <c r="OFN2" s="15"/>
      <c r="OFO2" s="15"/>
      <c r="OFP2" s="15"/>
      <c r="OFQ2" s="15"/>
      <c r="OFR2" s="15"/>
      <c r="OFS2" s="15"/>
      <c r="OFT2" s="15"/>
      <c r="OFU2" s="15"/>
      <c r="OFV2" s="15"/>
      <c r="OFW2" s="15"/>
      <c r="OFX2" s="15"/>
      <c r="OFY2" s="15"/>
      <c r="OFZ2" s="15"/>
      <c r="OGA2" s="15"/>
      <c r="OGB2" s="15"/>
      <c r="OGC2" s="15"/>
      <c r="OGD2" s="15"/>
      <c r="OGE2" s="15"/>
      <c r="OGF2" s="15"/>
      <c r="OGG2" s="15"/>
      <c r="OGH2" s="15"/>
      <c r="OGI2" s="15"/>
      <c r="OGJ2" s="15"/>
      <c r="OGK2" s="15"/>
      <c r="OGL2" s="15"/>
      <c r="OGM2" s="15"/>
      <c r="OGN2" s="15"/>
      <c r="OGO2" s="15"/>
      <c r="OGP2" s="15"/>
      <c r="OGQ2" s="15"/>
      <c r="OGR2" s="15"/>
      <c r="OGS2" s="15"/>
      <c r="OGT2" s="15"/>
      <c r="OGU2" s="15"/>
      <c r="OGV2" s="15"/>
      <c r="OGW2" s="15"/>
      <c r="OGX2" s="15"/>
      <c r="OGY2" s="15"/>
      <c r="OGZ2" s="15"/>
      <c r="OHA2" s="15"/>
      <c r="OHB2" s="15"/>
      <c r="OHC2" s="15"/>
      <c r="OHD2" s="15"/>
      <c r="OHE2" s="15"/>
      <c r="OHF2" s="15"/>
      <c r="OHG2" s="15"/>
      <c r="OHH2" s="15"/>
      <c r="OHI2" s="15"/>
      <c r="OHJ2" s="15"/>
      <c r="OHK2" s="15"/>
      <c r="OHL2" s="15"/>
      <c r="OHM2" s="15"/>
      <c r="OHN2" s="15"/>
      <c r="OHO2" s="15"/>
      <c r="OHP2" s="15"/>
      <c r="OHQ2" s="15"/>
      <c r="OHR2" s="15"/>
      <c r="OHS2" s="15"/>
      <c r="OHT2" s="15"/>
      <c r="OHU2" s="15"/>
      <c r="OHV2" s="15"/>
      <c r="OHW2" s="15"/>
      <c r="OHX2" s="15"/>
      <c r="OHY2" s="15"/>
      <c r="OHZ2" s="15"/>
      <c r="OIA2" s="15"/>
      <c r="OIB2" s="15"/>
      <c r="OIC2" s="15"/>
      <c r="OID2" s="15"/>
      <c r="OIE2" s="15"/>
      <c r="OIF2" s="15"/>
      <c r="OIG2" s="15"/>
      <c r="OIH2" s="15"/>
      <c r="OII2" s="15"/>
      <c r="OIJ2" s="15"/>
      <c r="OIK2" s="15"/>
      <c r="OIL2" s="15"/>
      <c r="OIM2" s="15"/>
      <c r="OIN2" s="15"/>
      <c r="OIO2" s="15"/>
      <c r="OIP2" s="15"/>
      <c r="OIQ2" s="15"/>
      <c r="OIR2" s="15"/>
      <c r="OIS2" s="15"/>
      <c r="OIT2" s="15"/>
      <c r="OIU2" s="15"/>
      <c r="OIV2" s="15"/>
      <c r="OIW2" s="15"/>
      <c r="OIX2" s="15"/>
      <c r="OIY2" s="15"/>
      <c r="OIZ2" s="15"/>
      <c r="OJA2" s="15"/>
      <c r="OJB2" s="15"/>
      <c r="OJC2" s="15"/>
      <c r="OJD2" s="15"/>
      <c r="OJE2" s="15"/>
      <c r="OJF2" s="15"/>
      <c r="OJG2" s="15"/>
      <c r="OJH2" s="15"/>
      <c r="OJI2" s="15"/>
      <c r="OJJ2" s="15"/>
      <c r="OJK2" s="15"/>
      <c r="OJL2" s="15"/>
      <c r="OJM2" s="15"/>
      <c r="OJN2" s="15"/>
      <c r="OJO2" s="15"/>
      <c r="OJP2" s="15"/>
      <c r="OJQ2" s="15"/>
      <c r="OJR2" s="15"/>
      <c r="OJS2" s="15"/>
      <c r="OJT2" s="15"/>
      <c r="OJU2" s="15"/>
      <c r="OJV2" s="15"/>
      <c r="OJW2" s="15"/>
      <c r="OJX2" s="15"/>
      <c r="OJY2" s="15"/>
      <c r="OJZ2" s="15"/>
      <c r="OKA2" s="15"/>
      <c r="OKB2" s="15"/>
      <c r="OKC2" s="15"/>
      <c r="OKD2" s="15"/>
      <c r="OKE2" s="15"/>
      <c r="OKF2" s="15"/>
      <c r="OKG2" s="15"/>
      <c r="OKH2" s="15"/>
      <c r="OKI2" s="15"/>
      <c r="OKJ2" s="15"/>
      <c r="OKK2" s="15"/>
      <c r="OKL2" s="15"/>
      <c r="OKM2" s="15"/>
      <c r="OKN2" s="15"/>
      <c r="OKO2" s="15"/>
      <c r="OKP2" s="15"/>
      <c r="OKQ2" s="15"/>
      <c r="OKR2" s="15"/>
      <c r="OKS2" s="15"/>
      <c r="OKT2" s="15"/>
      <c r="OKU2" s="15"/>
      <c r="OKV2" s="15"/>
      <c r="OKW2" s="15"/>
      <c r="OKX2" s="15"/>
      <c r="OKY2" s="15"/>
      <c r="OKZ2" s="15"/>
      <c r="OLA2" s="15"/>
      <c r="OLB2" s="15"/>
      <c r="OLC2" s="15"/>
      <c r="OLD2" s="15"/>
      <c r="OLE2" s="15"/>
      <c r="OLF2" s="15"/>
      <c r="OLG2" s="15"/>
      <c r="OLH2" s="15"/>
      <c r="OLI2" s="15"/>
      <c r="OLJ2" s="15"/>
      <c r="OLK2" s="15"/>
      <c r="OLL2" s="15"/>
      <c r="OLM2" s="15"/>
      <c r="OLN2" s="15"/>
      <c r="OLO2" s="15"/>
      <c r="OLP2" s="15"/>
      <c r="OLQ2" s="15"/>
      <c r="OLR2" s="15"/>
      <c r="OLS2" s="15"/>
      <c r="OLT2" s="15"/>
      <c r="OLU2" s="15"/>
      <c r="OLV2" s="15"/>
      <c r="OLW2" s="15"/>
      <c r="OLX2" s="15"/>
      <c r="OLY2" s="15"/>
      <c r="OLZ2" s="15"/>
      <c r="OMA2" s="15"/>
      <c r="OMB2" s="15"/>
      <c r="OMC2" s="15"/>
      <c r="OMD2" s="15"/>
      <c r="OME2" s="15"/>
      <c r="OMF2" s="15"/>
      <c r="OMG2" s="15"/>
      <c r="OMH2" s="15"/>
      <c r="OMI2" s="15"/>
      <c r="OMJ2" s="15"/>
      <c r="OMK2" s="15"/>
      <c r="OML2" s="15"/>
      <c r="OMM2" s="15"/>
      <c r="OMN2" s="15"/>
      <c r="OMO2" s="15"/>
      <c r="OMP2" s="15"/>
      <c r="OMQ2" s="15"/>
      <c r="OMR2" s="15"/>
      <c r="OMS2" s="15"/>
      <c r="OMT2" s="15"/>
      <c r="OMU2" s="15"/>
      <c r="OMV2" s="15"/>
      <c r="OMW2" s="15"/>
      <c r="OMX2" s="15"/>
      <c r="OMY2" s="15"/>
      <c r="OMZ2" s="15"/>
      <c r="ONA2" s="15"/>
      <c r="ONB2" s="15"/>
      <c r="ONC2" s="15"/>
      <c r="OND2" s="15"/>
      <c r="ONE2" s="15"/>
      <c r="ONF2" s="15"/>
      <c r="ONG2" s="15"/>
      <c r="ONH2" s="15"/>
      <c r="ONI2" s="15"/>
      <c r="ONJ2" s="15"/>
      <c r="ONK2" s="15"/>
      <c r="ONL2" s="15"/>
      <c r="ONM2" s="15"/>
      <c r="ONN2" s="15"/>
      <c r="ONO2" s="15"/>
      <c r="ONP2" s="15"/>
      <c r="ONQ2" s="15"/>
      <c r="ONR2" s="15"/>
      <c r="ONS2" s="15"/>
      <c r="ONT2" s="15"/>
      <c r="ONU2" s="15"/>
      <c r="ONV2" s="15"/>
      <c r="ONW2" s="15"/>
      <c r="ONX2" s="15"/>
      <c r="ONY2" s="15"/>
      <c r="ONZ2" s="15"/>
      <c r="OOA2" s="15"/>
      <c r="OOB2" s="15"/>
      <c r="OOC2" s="15"/>
      <c r="OOD2" s="15"/>
      <c r="OOE2" s="15"/>
      <c r="OOF2" s="15"/>
      <c r="OOG2" s="15"/>
      <c r="OOH2" s="15"/>
      <c r="OOI2" s="15"/>
      <c r="OOJ2" s="15"/>
      <c r="OOK2" s="15"/>
      <c r="OOL2" s="15"/>
      <c r="OOM2" s="15"/>
      <c r="OON2" s="15"/>
      <c r="OOO2" s="15"/>
      <c r="OOP2" s="15"/>
      <c r="OOQ2" s="15"/>
      <c r="OOR2" s="15"/>
      <c r="OOS2" s="15"/>
      <c r="OOT2" s="15"/>
      <c r="OOU2" s="15"/>
      <c r="OOV2" s="15"/>
      <c r="OOW2" s="15"/>
      <c r="OOX2" s="15"/>
      <c r="OOY2" s="15"/>
      <c r="OOZ2" s="15"/>
      <c r="OPA2" s="15"/>
      <c r="OPB2" s="15"/>
      <c r="OPC2" s="15"/>
      <c r="OPD2" s="15"/>
      <c r="OPE2" s="15"/>
      <c r="OPF2" s="15"/>
      <c r="OPG2" s="15"/>
      <c r="OPH2" s="15"/>
      <c r="OPI2" s="15"/>
      <c r="OPJ2" s="15"/>
      <c r="OPK2" s="15"/>
      <c r="OPL2" s="15"/>
      <c r="OPM2" s="15"/>
      <c r="OPN2" s="15"/>
      <c r="OPO2" s="15"/>
      <c r="OPP2" s="15"/>
      <c r="OPQ2" s="15"/>
      <c r="OPR2" s="15"/>
      <c r="OPS2" s="15"/>
      <c r="OPT2" s="15"/>
      <c r="OPU2" s="15"/>
      <c r="OPV2" s="15"/>
      <c r="OPW2" s="15"/>
      <c r="OPX2" s="15"/>
      <c r="OPY2" s="15"/>
      <c r="OPZ2" s="15"/>
      <c r="OQA2" s="15"/>
      <c r="OQB2" s="15"/>
      <c r="OQC2" s="15"/>
      <c r="OQD2" s="15"/>
      <c r="OQE2" s="15"/>
      <c r="OQF2" s="15"/>
      <c r="OQG2" s="15"/>
      <c r="OQH2" s="15"/>
      <c r="OQI2" s="15"/>
      <c r="OQJ2" s="15"/>
      <c r="OQK2" s="15"/>
      <c r="OQL2" s="15"/>
      <c r="OQM2" s="15"/>
      <c r="OQN2" s="15"/>
      <c r="OQO2" s="15"/>
      <c r="OQP2" s="15"/>
      <c r="OQQ2" s="15"/>
      <c r="OQR2" s="15"/>
      <c r="OQS2" s="15"/>
      <c r="OQT2" s="15"/>
      <c r="OQU2" s="15"/>
      <c r="OQV2" s="15"/>
      <c r="OQW2" s="15"/>
      <c r="OQX2" s="15"/>
      <c r="OQY2" s="15"/>
      <c r="OQZ2" s="15"/>
      <c r="ORA2" s="15"/>
      <c r="ORB2" s="15"/>
      <c r="ORC2" s="15"/>
      <c r="ORD2" s="15"/>
      <c r="ORE2" s="15"/>
      <c r="ORF2" s="15"/>
      <c r="ORG2" s="15"/>
      <c r="ORH2" s="15"/>
      <c r="ORI2" s="15"/>
      <c r="ORJ2" s="15"/>
      <c r="ORK2" s="15"/>
      <c r="ORL2" s="15"/>
      <c r="ORM2" s="15"/>
      <c r="ORN2" s="15"/>
      <c r="ORO2" s="15"/>
      <c r="ORP2" s="15"/>
      <c r="ORQ2" s="15"/>
      <c r="ORR2" s="15"/>
      <c r="ORS2" s="15"/>
      <c r="ORT2" s="15"/>
      <c r="ORU2" s="15"/>
      <c r="ORV2" s="15"/>
      <c r="ORW2" s="15"/>
      <c r="ORX2" s="15"/>
      <c r="ORY2" s="15"/>
      <c r="ORZ2" s="15"/>
      <c r="OSA2" s="15"/>
      <c r="OSB2" s="15"/>
      <c r="OSC2" s="15"/>
      <c r="OSD2" s="15"/>
      <c r="OSE2" s="15"/>
      <c r="OSF2" s="15"/>
      <c r="OSG2" s="15"/>
      <c r="OSH2" s="15"/>
      <c r="OSI2" s="15"/>
      <c r="OSJ2" s="15"/>
      <c r="OSK2" s="15"/>
      <c r="OSL2" s="15"/>
      <c r="OSM2" s="15"/>
      <c r="OSN2" s="15"/>
      <c r="OSO2" s="15"/>
      <c r="OSP2" s="15"/>
      <c r="OSQ2" s="15"/>
      <c r="OSR2" s="15"/>
      <c r="OSS2" s="15"/>
      <c r="OST2" s="15"/>
      <c r="OSU2" s="15"/>
      <c r="OSV2" s="15"/>
      <c r="OSW2" s="15"/>
      <c r="OSX2" s="15"/>
      <c r="OSY2" s="15"/>
      <c r="OSZ2" s="15"/>
      <c r="OTA2" s="15"/>
      <c r="OTB2" s="15"/>
      <c r="OTC2" s="15"/>
      <c r="OTD2" s="15"/>
      <c r="OTE2" s="15"/>
      <c r="OTF2" s="15"/>
      <c r="OTG2" s="15"/>
      <c r="OTH2" s="15"/>
      <c r="OTI2" s="15"/>
      <c r="OTJ2" s="15"/>
      <c r="OTK2" s="15"/>
      <c r="OTL2" s="15"/>
      <c r="OTM2" s="15"/>
      <c r="OTN2" s="15"/>
      <c r="OTO2" s="15"/>
      <c r="OTP2" s="15"/>
      <c r="OTQ2" s="15"/>
      <c r="OTR2" s="15"/>
      <c r="OTS2" s="15"/>
      <c r="OTT2" s="15"/>
      <c r="OTU2" s="15"/>
      <c r="OTV2" s="15"/>
      <c r="OTW2" s="15"/>
      <c r="OTX2" s="15"/>
      <c r="OTY2" s="15"/>
      <c r="OTZ2" s="15"/>
      <c r="OUA2" s="15"/>
      <c r="OUB2" s="15"/>
      <c r="OUC2" s="15"/>
      <c r="OUD2" s="15"/>
      <c r="OUE2" s="15"/>
      <c r="OUF2" s="15"/>
      <c r="OUG2" s="15"/>
      <c r="OUH2" s="15"/>
      <c r="OUI2" s="15"/>
      <c r="OUJ2" s="15"/>
      <c r="OUK2" s="15"/>
      <c r="OUL2" s="15"/>
      <c r="OUM2" s="15"/>
      <c r="OUN2" s="15"/>
      <c r="OUO2" s="15"/>
      <c r="OUP2" s="15"/>
      <c r="OUQ2" s="15"/>
      <c r="OUR2" s="15"/>
      <c r="OUS2" s="15"/>
      <c r="OUT2" s="15"/>
      <c r="OUU2" s="15"/>
      <c r="OUV2" s="15"/>
      <c r="OUW2" s="15"/>
      <c r="OUX2" s="15"/>
      <c r="OUY2" s="15"/>
      <c r="OUZ2" s="15"/>
      <c r="OVA2" s="15"/>
      <c r="OVB2" s="15"/>
      <c r="OVC2" s="15"/>
      <c r="OVD2" s="15"/>
      <c r="OVE2" s="15"/>
      <c r="OVF2" s="15"/>
      <c r="OVG2" s="15"/>
      <c r="OVH2" s="15"/>
      <c r="OVI2" s="15"/>
      <c r="OVJ2" s="15"/>
      <c r="OVK2" s="15"/>
      <c r="OVL2" s="15"/>
      <c r="OVM2" s="15"/>
      <c r="OVN2" s="15"/>
      <c r="OVO2" s="15"/>
      <c r="OVP2" s="15"/>
      <c r="OVQ2" s="15"/>
      <c r="OVR2" s="15"/>
      <c r="OVS2" s="15"/>
      <c r="OVT2" s="15"/>
      <c r="OVU2" s="15"/>
      <c r="OVV2" s="15"/>
      <c r="OVW2" s="15"/>
      <c r="OVX2" s="15"/>
      <c r="OVY2" s="15"/>
      <c r="OVZ2" s="15"/>
      <c r="OWA2" s="15"/>
      <c r="OWB2" s="15"/>
      <c r="OWC2" s="15"/>
      <c r="OWD2" s="15"/>
      <c r="OWE2" s="15"/>
      <c r="OWF2" s="15"/>
      <c r="OWG2" s="15"/>
      <c r="OWH2" s="15"/>
      <c r="OWI2" s="15"/>
      <c r="OWJ2" s="15"/>
      <c r="OWK2" s="15"/>
      <c r="OWL2" s="15"/>
      <c r="OWM2" s="15"/>
      <c r="OWN2" s="15"/>
      <c r="OWO2" s="15"/>
      <c r="OWP2" s="15"/>
      <c r="OWQ2" s="15"/>
      <c r="OWR2" s="15"/>
      <c r="OWS2" s="15"/>
      <c r="OWT2" s="15"/>
      <c r="OWU2" s="15"/>
      <c r="OWV2" s="15"/>
      <c r="OWW2" s="15"/>
      <c r="OWX2" s="15"/>
      <c r="OWY2" s="15"/>
      <c r="OWZ2" s="15"/>
      <c r="OXA2" s="15"/>
      <c r="OXB2" s="15"/>
      <c r="OXC2" s="15"/>
      <c r="OXD2" s="15"/>
      <c r="OXE2" s="15"/>
      <c r="OXF2" s="15"/>
      <c r="OXG2" s="15"/>
      <c r="OXH2" s="15"/>
      <c r="OXI2" s="15"/>
      <c r="OXJ2" s="15"/>
      <c r="OXK2" s="15"/>
      <c r="OXL2" s="15"/>
      <c r="OXM2" s="15"/>
      <c r="OXN2" s="15"/>
      <c r="OXO2" s="15"/>
      <c r="OXP2" s="15"/>
      <c r="OXQ2" s="15"/>
      <c r="OXR2" s="15"/>
      <c r="OXS2" s="15"/>
      <c r="OXT2" s="15"/>
      <c r="OXU2" s="15"/>
      <c r="OXV2" s="15"/>
      <c r="OXW2" s="15"/>
      <c r="OXX2" s="15"/>
      <c r="OXY2" s="15"/>
      <c r="OXZ2" s="15"/>
      <c r="OYA2" s="15"/>
      <c r="OYB2" s="15"/>
      <c r="OYC2" s="15"/>
      <c r="OYD2" s="15"/>
      <c r="OYE2" s="15"/>
      <c r="OYF2" s="15"/>
      <c r="OYG2" s="15"/>
      <c r="OYH2" s="15"/>
      <c r="OYI2" s="15"/>
      <c r="OYJ2" s="15"/>
      <c r="OYK2" s="15"/>
      <c r="OYL2" s="15"/>
      <c r="OYM2" s="15"/>
      <c r="OYN2" s="15"/>
      <c r="OYO2" s="15"/>
      <c r="OYP2" s="15"/>
      <c r="OYQ2" s="15"/>
      <c r="OYR2" s="15"/>
      <c r="OYS2" s="15"/>
      <c r="OYT2" s="15"/>
      <c r="OYU2" s="15"/>
      <c r="OYV2" s="15"/>
      <c r="OYW2" s="15"/>
      <c r="OYX2" s="15"/>
      <c r="OYY2" s="15"/>
      <c r="OYZ2" s="15"/>
      <c r="OZA2" s="15"/>
      <c r="OZB2" s="15"/>
      <c r="OZC2" s="15"/>
      <c r="OZD2" s="15"/>
      <c r="OZE2" s="15"/>
      <c r="OZF2" s="15"/>
      <c r="OZG2" s="15"/>
      <c r="OZH2" s="15"/>
      <c r="OZI2" s="15"/>
      <c r="OZJ2" s="15"/>
      <c r="OZK2" s="15"/>
      <c r="OZL2" s="15"/>
      <c r="OZM2" s="15"/>
      <c r="OZN2" s="15"/>
      <c r="OZO2" s="15"/>
      <c r="OZP2" s="15"/>
      <c r="OZQ2" s="15"/>
      <c r="OZR2" s="15"/>
      <c r="OZS2" s="15"/>
      <c r="OZT2" s="15"/>
      <c r="OZU2" s="15"/>
      <c r="OZV2" s="15"/>
      <c r="OZW2" s="15"/>
      <c r="OZX2" s="15"/>
      <c r="OZY2" s="15"/>
      <c r="OZZ2" s="15"/>
      <c r="PAA2" s="15"/>
      <c r="PAB2" s="15"/>
      <c r="PAC2" s="15"/>
      <c r="PAD2" s="15"/>
      <c r="PAE2" s="15"/>
      <c r="PAF2" s="15"/>
      <c r="PAG2" s="15"/>
      <c r="PAH2" s="15"/>
      <c r="PAI2" s="15"/>
      <c r="PAJ2" s="15"/>
      <c r="PAK2" s="15"/>
      <c r="PAL2" s="15"/>
      <c r="PAM2" s="15"/>
      <c r="PAN2" s="15"/>
      <c r="PAO2" s="15"/>
      <c r="PAP2" s="15"/>
      <c r="PAQ2" s="15"/>
      <c r="PAR2" s="15"/>
      <c r="PAS2" s="15"/>
      <c r="PAT2" s="15"/>
      <c r="PAU2" s="15"/>
      <c r="PAV2" s="15"/>
      <c r="PAW2" s="15"/>
      <c r="PAX2" s="15"/>
      <c r="PAY2" s="15"/>
      <c r="PAZ2" s="15"/>
      <c r="PBA2" s="15"/>
      <c r="PBB2" s="15"/>
      <c r="PBC2" s="15"/>
      <c r="PBD2" s="15"/>
      <c r="PBE2" s="15"/>
      <c r="PBF2" s="15"/>
      <c r="PBG2" s="15"/>
      <c r="PBH2" s="15"/>
      <c r="PBI2" s="15"/>
      <c r="PBJ2" s="15"/>
      <c r="PBK2" s="15"/>
      <c r="PBL2" s="15"/>
      <c r="PBM2" s="15"/>
      <c r="PBN2" s="15"/>
      <c r="PBO2" s="15"/>
      <c r="PBP2" s="15"/>
      <c r="PBQ2" s="15"/>
      <c r="PBR2" s="15"/>
      <c r="PBS2" s="15"/>
      <c r="PBT2" s="15"/>
      <c r="PBU2" s="15"/>
      <c r="PBV2" s="15"/>
      <c r="PBW2" s="15"/>
      <c r="PBX2" s="15"/>
      <c r="PBY2" s="15"/>
      <c r="PBZ2" s="15"/>
      <c r="PCA2" s="15"/>
      <c r="PCB2" s="15"/>
      <c r="PCC2" s="15"/>
      <c r="PCD2" s="15"/>
      <c r="PCE2" s="15"/>
      <c r="PCF2" s="15"/>
      <c r="PCG2" s="15"/>
      <c r="PCH2" s="15"/>
      <c r="PCI2" s="15"/>
      <c r="PCJ2" s="15"/>
      <c r="PCK2" s="15"/>
      <c r="PCL2" s="15"/>
      <c r="PCM2" s="15"/>
      <c r="PCN2" s="15"/>
      <c r="PCO2" s="15"/>
      <c r="PCP2" s="15"/>
      <c r="PCQ2" s="15"/>
      <c r="PCR2" s="15"/>
      <c r="PCS2" s="15"/>
      <c r="PCT2" s="15"/>
      <c r="PCU2" s="15"/>
      <c r="PCV2" s="15"/>
      <c r="PCW2" s="15"/>
      <c r="PCX2" s="15"/>
      <c r="PCY2" s="15"/>
      <c r="PCZ2" s="15"/>
      <c r="PDA2" s="15"/>
      <c r="PDB2" s="15"/>
      <c r="PDC2" s="15"/>
      <c r="PDD2" s="15"/>
      <c r="PDE2" s="15"/>
      <c r="PDF2" s="15"/>
      <c r="PDG2" s="15"/>
      <c r="PDH2" s="15"/>
      <c r="PDI2" s="15"/>
      <c r="PDJ2" s="15"/>
      <c r="PDK2" s="15"/>
      <c r="PDL2" s="15"/>
      <c r="PDM2" s="15"/>
      <c r="PDN2" s="15"/>
      <c r="PDO2" s="15"/>
      <c r="PDP2" s="15"/>
      <c r="PDQ2" s="15"/>
      <c r="PDR2" s="15"/>
      <c r="PDS2" s="15"/>
      <c r="PDT2" s="15"/>
      <c r="PDU2" s="15"/>
      <c r="PDV2" s="15"/>
      <c r="PDW2" s="15"/>
      <c r="PDX2" s="15"/>
      <c r="PDY2" s="15"/>
      <c r="PDZ2" s="15"/>
      <c r="PEA2" s="15"/>
      <c r="PEB2" s="15"/>
      <c r="PEC2" s="15"/>
      <c r="PED2" s="15"/>
      <c r="PEE2" s="15"/>
      <c r="PEF2" s="15"/>
      <c r="PEG2" s="15"/>
      <c r="PEH2" s="15"/>
      <c r="PEI2" s="15"/>
      <c r="PEJ2" s="15"/>
      <c r="PEK2" s="15"/>
      <c r="PEL2" s="15"/>
      <c r="PEM2" s="15"/>
      <c r="PEN2" s="15"/>
      <c r="PEO2" s="15"/>
      <c r="PEP2" s="15"/>
      <c r="PEQ2" s="15"/>
      <c r="PER2" s="15"/>
      <c r="PES2" s="15"/>
      <c r="PET2" s="15"/>
      <c r="PEU2" s="15"/>
      <c r="PEV2" s="15"/>
      <c r="PEW2" s="15"/>
      <c r="PEX2" s="15"/>
      <c r="PEY2" s="15"/>
      <c r="PEZ2" s="15"/>
      <c r="PFA2" s="15"/>
      <c r="PFB2" s="15"/>
      <c r="PFC2" s="15"/>
      <c r="PFD2" s="15"/>
      <c r="PFE2" s="15"/>
      <c r="PFF2" s="15"/>
      <c r="PFG2" s="15"/>
      <c r="PFH2" s="15"/>
      <c r="PFI2" s="15"/>
      <c r="PFJ2" s="15"/>
      <c r="PFK2" s="15"/>
      <c r="PFL2" s="15"/>
      <c r="PFM2" s="15"/>
      <c r="PFN2" s="15"/>
      <c r="PFO2" s="15"/>
      <c r="PFP2" s="15"/>
      <c r="PFQ2" s="15"/>
      <c r="PFR2" s="15"/>
      <c r="PFS2" s="15"/>
      <c r="PFT2" s="15"/>
      <c r="PFU2" s="15"/>
      <c r="PFV2" s="15"/>
      <c r="PFW2" s="15"/>
      <c r="PFX2" s="15"/>
      <c r="PFY2" s="15"/>
      <c r="PFZ2" s="15"/>
      <c r="PGA2" s="15"/>
      <c r="PGB2" s="15"/>
      <c r="PGC2" s="15"/>
      <c r="PGD2" s="15"/>
      <c r="PGE2" s="15"/>
      <c r="PGF2" s="15"/>
      <c r="PGG2" s="15"/>
      <c r="PGH2" s="15"/>
      <c r="PGI2" s="15"/>
      <c r="PGJ2" s="15"/>
      <c r="PGK2" s="15"/>
      <c r="PGL2" s="15"/>
      <c r="PGM2" s="15"/>
      <c r="PGN2" s="15"/>
      <c r="PGO2" s="15"/>
      <c r="PGP2" s="15"/>
      <c r="PGQ2" s="15"/>
      <c r="PGR2" s="15"/>
      <c r="PGS2" s="15"/>
      <c r="PGT2" s="15"/>
      <c r="PGU2" s="15"/>
      <c r="PGV2" s="15"/>
      <c r="PGW2" s="15"/>
      <c r="PGX2" s="15"/>
      <c r="PGY2" s="15"/>
      <c r="PGZ2" s="15"/>
      <c r="PHA2" s="15"/>
      <c r="PHB2" s="15"/>
      <c r="PHC2" s="15"/>
      <c r="PHD2" s="15"/>
      <c r="PHE2" s="15"/>
      <c r="PHF2" s="15"/>
      <c r="PHG2" s="15"/>
      <c r="PHH2" s="15"/>
      <c r="PHI2" s="15"/>
      <c r="PHJ2" s="15"/>
      <c r="PHK2" s="15"/>
      <c r="PHL2" s="15"/>
      <c r="PHM2" s="15"/>
      <c r="PHN2" s="15"/>
      <c r="PHO2" s="15"/>
      <c r="PHP2" s="15"/>
      <c r="PHQ2" s="15"/>
      <c r="PHR2" s="15"/>
      <c r="PHS2" s="15"/>
      <c r="PHT2" s="15"/>
      <c r="PHU2" s="15"/>
      <c r="PHV2" s="15"/>
      <c r="PHW2" s="15"/>
      <c r="PHX2" s="15"/>
      <c r="PHY2" s="15"/>
      <c r="PHZ2" s="15"/>
      <c r="PIA2" s="15"/>
      <c r="PIB2" s="15"/>
      <c r="PIC2" s="15"/>
      <c r="PID2" s="15"/>
      <c r="PIE2" s="15"/>
      <c r="PIF2" s="15"/>
      <c r="PIG2" s="15"/>
      <c r="PIH2" s="15"/>
      <c r="PII2" s="15"/>
      <c r="PIJ2" s="15"/>
      <c r="PIK2" s="15"/>
      <c r="PIL2" s="15"/>
      <c r="PIM2" s="15"/>
      <c r="PIN2" s="15"/>
      <c r="PIO2" s="15"/>
      <c r="PIP2" s="15"/>
      <c r="PIQ2" s="15"/>
      <c r="PIR2" s="15"/>
      <c r="PIS2" s="15"/>
      <c r="PIT2" s="15"/>
      <c r="PIU2" s="15"/>
      <c r="PIV2" s="15"/>
      <c r="PIW2" s="15"/>
      <c r="PIX2" s="15"/>
      <c r="PIY2" s="15"/>
      <c r="PIZ2" s="15"/>
      <c r="PJA2" s="15"/>
      <c r="PJB2" s="15"/>
      <c r="PJC2" s="15"/>
      <c r="PJD2" s="15"/>
      <c r="PJE2" s="15"/>
      <c r="PJF2" s="15"/>
      <c r="PJG2" s="15"/>
      <c r="PJH2" s="15"/>
      <c r="PJI2" s="15"/>
      <c r="PJJ2" s="15"/>
      <c r="PJK2" s="15"/>
      <c r="PJL2" s="15"/>
      <c r="PJM2" s="15"/>
      <c r="PJN2" s="15"/>
      <c r="PJO2" s="15"/>
      <c r="PJP2" s="15"/>
      <c r="PJQ2" s="15"/>
      <c r="PJR2" s="15"/>
      <c r="PJS2" s="15"/>
      <c r="PJT2" s="15"/>
      <c r="PJU2" s="15"/>
      <c r="PJV2" s="15"/>
      <c r="PJW2" s="15"/>
      <c r="PJX2" s="15"/>
      <c r="PJY2" s="15"/>
      <c r="PJZ2" s="15"/>
      <c r="PKA2" s="15"/>
      <c r="PKB2" s="15"/>
      <c r="PKC2" s="15"/>
      <c r="PKD2" s="15"/>
      <c r="PKE2" s="15"/>
      <c r="PKF2" s="15"/>
      <c r="PKG2" s="15"/>
      <c r="PKH2" s="15"/>
      <c r="PKI2" s="15"/>
      <c r="PKJ2" s="15"/>
      <c r="PKK2" s="15"/>
      <c r="PKL2" s="15"/>
      <c r="PKM2" s="15"/>
      <c r="PKN2" s="15"/>
      <c r="PKO2" s="15"/>
      <c r="PKP2" s="15"/>
      <c r="PKQ2" s="15"/>
      <c r="PKR2" s="15"/>
      <c r="PKS2" s="15"/>
      <c r="PKT2" s="15"/>
      <c r="PKU2" s="15"/>
      <c r="PKV2" s="15"/>
      <c r="PKW2" s="15"/>
      <c r="PKX2" s="15"/>
      <c r="PKY2" s="15"/>
      <c r="PKZ2" s="15"/>
      <c r="PLA2" s="15"/>
      <c r="PLB2" s="15"/>
      <c r="PLC2" s="15"/>
      <c r="PLD2" s="15"/>
      <c r="PLE2" s="15"/>
      <c r="PLF2" s="15"/>
      <c r="PLG2" s="15"/>
      <c r="PLH2" s="15"/>
      <c r="PLI2" s="15"/>
      <c r="PLJ2" s="15"/>
      <c r="PLK2" s="15"/>
      <c r="PLL2" s="15"/>
      <c r="PLM2" s="15"/>
      <c r="PLN2" s="15"/>
      <c r="PLO2" s="15"/>
      <c r="PLP2" s="15"/>
      <c r="PLQ2" s="15"/>
      <c r="PLR2" s="15"/>
      <c r="PLS2" s="15"/>
      <c r="PLT2" s="15"/>
      <c r="PLU2" s="15"/>
      <c r="PLV2" s="15"/>
      <c r="PLW2" s="15"/>
      <c r="PLX2" s="15"/>
      <c r="PLY2" s="15"/>
      <c r="PLZ2" s="15"/>
      <c r="PMA2" s="15"/>
      <c r="PMB2" s="15"/>
      <c r="PMC2" s="15"/>
      <c r="PMD2" s="15"/>
      <c r="PME2" s="15"/>
      <c r="PMF2" s="15"/>
      <c r="PMG2" s="15"/>
      <c r="PMH2" s="15"/>
      <c r="PMI2" s="15"/>
      <c r="PMJ2" s="15"/>
      <c r="PMK2" s="15"/>
      <c r="PML2" s="15"/>
      <c r="PMM2" s="15"/>
      <c r="PMN2" s="15"/>
      <c r="PMO2" s="15"/>
      <c r="PMP2" s="15"/>
      <c r="PMQ2" s="15"/>
      <c r="PMR2" s="15"/>
      <c r="PMS2" s="15"/>
      <c r="PMT2" s="15"/>
      <c r="PMU2" s="15"/>
      <c r="PMV2" s="15"/>
      <c r="PMW2" s="15"/>
      <c r="PMX2" s="15"/>
      <c r="PMY2" s="15"/>
      <c r="PMZ2" s="15"/>
      <c r="PNA2" s="15"/>
      <c r="PNB2" s="15"/>
      <c r="PNC2" s="15"/>
      <c r="PND2" s="15"/>
      <c r="PNE2" s="15"/>
      <c r="PNF2" s="15"/>
      <c r="PNG2" s="15"/>
      <c r="PNH2" s="15"/>
      <c r="PNI2" s="15"/>
      <c r="PNJ2" s="15"/>
      <c r="PNK2" s="15"/>
      <c r="PNL2" s="15"/>
      <c r="PNM2" s="15"/>
      <c r="PNN2" s="15"/>
      <c r="PNO2" s="15"/>
      <c r="PNP2" s="15"/>
      <c r="PNQ2" s="15"/>
      <c r="PNR2" s="15"/>
      <c r="PNS2" s="15"/>
      <c r="PNT2" s="15"/>
      <c r="PNU2" s="15"/>
      <c r="PNV2" s="15"/>
      <c r="PNW2" s="15"/>
      <c r="PNX2" s="15"/>
      <c r="PNY2" s="15"/>
      <c r="PNZ2" s="15"/>
      <c r="POA2" s="15"/>
      <c r="POB2" s="15"/>
      <c r="POC2" s="15"/>
      <c r="POD2" s="15"/>
      <c r="POE2" s="15"/>
      <c r="POF2" s="15"/>
      <c r="POG2" s="15"/>
      <c r="POH2" s="15"/>
      <c r="POI2" s="15"/>
      <c r="POJ2" s="15"/>
      <c r="POK2" s="15"/>
      <c r="POL2" s="15"/>
      <c r="POM2" s="15"/>
      <c r="PON2" s="15"/>
      <c r="POO2" s="15"/>
      <c r="POP2" s="15"/>
      <c r="POQ2" s="15"/>
      <c r="POR2" s="15"/>
      <c r="POS2" s="15"/>
      <c r="POT2" s="15"/>
      <c r="POU2" s="15"/>
      <c r="POV2" s="15"/>
      <c r="POW2" s="15"/>
      <c r="POX2" s="15"/>
      <c r="POY2" s="15"/>
      <c r="POZ2" s="15"/>
      <c r="PPA2" s="15"/>
      <c r="PPB2" s="15"/>
      <c r="PPC2" s="15"/>
      <c r="PPD2" s="15"/>
      <c r="PPE2" s="15"/>
      <c r="PPF2" s="15"/>
      <c r="PPG2" s="15"/>
      <c r="PPH2" s="15"/>
      <c r="PPI2" s="15"/>
      <c r="PPJ2" s="15"/>
      <c r="PPK2" s="15"/>
      <c r="PPL2" s="15"/>
      <c r="PPM2" s="15"/>
      <c r="PPN2" s="15"/>
      <c r="PPO2" s="15"/>
      <c r="PPP2" s="15"/>
      <c r="PPQ2" s="15"/>
      <c r="PPR2" s="15"/>
      <c r="PPS2" s="15"/>
      <c r="PPT2" s="15"/>
      <c r="PPU2" s="15"/>
      <c r="PPV2" s="15"/>
      <c r="PPW2" s="15"/>
      <c r="PPX2" s="15"/>
      <c r="PPY2" s="15"/>
      <c r="PPZ2" s="15"/>
      <c r="PQA2" s="15"/>
      <c r="PQB2" s="15"/>
      <c r="PQC2" s="15"/>
      <c r="PQD2" s="15"/>
      <c r="PQE2" s="15"/>
      <c r="PQF2" s="15"/>
      <c r="PQG2" s="15"/>
      <c r="PQH2" s="15"/>
      <c r="PQI2" s="15"/>
      <c r="PQJ2" s="15"/>
      <c r="PQK2" s="15"/>
      <c r="PQL2" s="15"/>
      <c r="PQM2" s="15"/>
      <c r="PQN2" s="15"/>
      <c r="PQO2" s="15"/>
      <c r="PQP2" s="15"/>
      <c r="PQQ2" s="15"/>
      <c r="PQR2" s="15"/>
      <c r="PQS2" s="15"/>
      <c r="PQT2" s="15"/>
      <c r="PQU2" s="15"/>
      <c r="PQV2" s="15"/>
      <c r="PQW2" s="15"/>
      <c r="PQX2" s="15"/>
      <c r="PQY2" s="15"/>
      <c r="PQZ2" s="15"/>
      <c r="PRA2" s="15"/>
      <c r="PRB2" s="15"/>
      <c r="PRC2" s="15"/>
      <c r="PRD2" s="15"/>
      <c r="PRE2" s="15"/>
      <c r="PRF2" s="15"/>
      <c r="PRG2" s="15"/>
      <c r="PRH2" s="15"/>
      <c r="PRI2" s="15"/>
      <c r="PRJ2" s="15"/>
      <c r="PRK2" s="15"/>
      <c r="PRL2" s="15"/>
      <c r="PRM2" s="15"/>
      <c r="PRN2" s="15"/>
      <c r="PRO2" s="15"/>
      <c r="PRP2" s="15"/>
      <c r="PRQ2" s="15"/>
      <c r="PRR2" s="15"/>
      <c r="PRS2" s="15"/>
      <c r="PRT2" s="15"/>
      <c r="PRU2" s="15"/>
      <c r="PRV2" s="15"/>
      <c r="PRW2" s="15"/>
      <c r="PRX2" s="15"/>
      <c r="PRY2" s="15"/>
      <c r="PRZ2" s="15"/>
      <c r="PSA2" s="15"/>
      <c r="PSB2" s="15"/>
      <c r="PSC2" s="15"/>
      <c r="PSD2" s="15"/>
      <c r="PSE2" s="15"/>
      <c r="PSF2" s="15"/>
      <c r="PSG2" s="15"/>
      <c r="PSH2" s="15"/>
      <c r="PSI2" s="15"/>
      <c r="PSJ2" s="15"/>
      <c r="PSK2" s="15"/>
      <c r="PSL2" s="15"/>
      <c r="PSM2" s="15"/>
      <c r="PSN2" s="15"/>
      <c r="PSO2" s="15"/>
      <c r="PSP2" s="15"/>
      <c r="PSQ2" s="15"/>
      <c r="PSR2" s="15"/>
      <c r="PSS2" s="15"/>
      <c r="PST2" s="15"/>
      <c r="PSU2" s="15"/>
      <c r="PSV2" s="15"/>
      <c r="PSW2" s="15"/>
      <c r="PSX2" s="15"/>
      <c r="PSY2" s="15"/>
      <c r="PSZ2" s="15"/>
      <c r="PTA2" s="15"/>
      <c r="PTB2" s="15"/>
      <c r="PTC2" s="15"/>
      <c r="PTD2" s="15"/>
      <c r="PTE2" s="15"/>
      <c r="PTF2" s="15"/>
      <c r="PTG2" s="15"/>
      <c r="PTH2" s="15"/>
      <c r="PTI2" s="15"/>
      <c r="PTJ2" s="15"/>
      <c r="PTK2" s="15"/>
      <c r="PTL2" s="15"/>
      <c r="PTM2" s="15"/>
      <c r="PTN2" s="15"/>
      <c r="PTO2" s="15"/>
      <c r="PTP2" s="15"/>
      <c r="PTQ2" s="15"/>
      <c r="PTR2" s="15"/>
      <c r="PTS2" s="15"/>
      <c r="PTT2" s="15"/>
      <c r="PTU2" s="15"/>
      <c r="PTV2" s="15"/>
      <c r="PTW2" s="15"/>
      <c r="PTX2" s="15"/>
      <c r="PTY2" s="15"/>
      <c r="PTZ2" s="15"/>
      <c r="PUA2" s="15"/>
      <c r="PUB2" s="15"/>
      <c r="PUC2" s="15"/>
      <c r="PUD2" s="15"/>
      <c r="PUE2" s="15"/>
      <c r="PUF2" s="15"/>
      <c r="PUG2" s="15"/>
      <c r="PUH2" s="15"/>
      <c r="PUI2" s="15"/>
      <c r="PUJ2" s="15"/>
      <c r="PUK2" s="15"/>
      <c r="PUL2" s="15"/>
      <c r="PUM2" s="15"/>
      <c r="PUN2" s="15"/>
      <c r="PUO2" s="15"/>
      <c r="PUP2" s="15"/>
      <c r="PUQ2" s="15"/>
      <c r="PUR2" s="15"/>
      <c r="PUS2" s="15"/>
      <c r="PUT2" s="15"/>
      <c r="PUU2" s="15"/>
      <c r="PUV2" s="15"/>
      <c r="PUW2" s="15"/>
      <c r="PUX2" s="15"/>
      <c r="PUY2" s="15"/>
      <c r="PUZ2" s="15"/>
      <c r="PVA2" s="15"/>
      <c r="PVB2" s="15"/>
      <c r="PVC2" s="15"/>
      <c r="PVD2" s="15"/>
      <c r="PVE2" s="15"/>
      <c r="PVF2" s="15"/>
      <c r="PVG2" s="15"/>
      <c r="PVH2" s="15"/>
      <c r="PVI2" s="15"/>
      <c r="PVJ2" s="15"/>
      <c r="PVK2" s="15"/>
      <c r="PVL2" s="15"/>
      <c r="PVM2" s="15"/>
      <c r="PVN2" s="15"/>
      <c r="PVO2" s="15"/>
      <c r="PVP2" s="15"/>
      <c r="PVQ2" s="15"/>
      <c r="PVR2" s="15"/>
      <c r="PVS2" s="15"/>
      <c r="PVT2" s="15"/>
      <c r="PVU2" s="15"/>
      <c r="PVV2" s="15"/>
      <c r="PVW2" s="15"/>
      <c r="PVX2" s="15"/>
      <c r="PVY2" s="15"/>
      <c r="PVZ2" s="15"/>
      <c r="PWA2" s="15"/>
      <c r="PWB2" s="15"/>
      <c r="PWC2" s="15"/>
      <c r="PWD2" s="15"/>
      <c r="PWE2" s="15"/>
      <c r="PWF2" s="15"/>
      <c r="PWG2" s="15"/>
      <c r="PWH2" s="15"/>
      <c r="PWI2" s="15"/>
      <c r="PWJ2" s="15"/>
      <c r="PWK2" s="15"/>
      <c r="PWL2" s="15"/>
      <c r="PWM2" s="15"/>
      <c r="PWN2" s="15"/>
      <c r="PWO2" s="15"/>
      <c r="PWP2" s="15"/>
      <c r="PWQ2" s="15"/>
      <c r="PWR2" s="15"/>
      <c r="PWS2" s="15"/>
      <c r="PWT2" s="15"/>
      <c r="PWU2" s="15"/>
      <c r="PWV2" s="15"/>
      <c r="PWW2" s="15"/>
      <c r="PWX2" s="15"/>
      <c r="PWY2" s="15"/>
      <c r="PWZ2" s="15"/>
      <c r="PXA2" s="15"/>
      <c r="PXB2" s="15"/>
      <c r="PXC2" s="15"/>
      <c r="PXD2" s="15"/>
      <c r="PXE2" s="15"/>
      <c r="PXF2" s="15"/>
      <c r="PXG2" s="15"/>
      <c r="PXH2" s="15"/>
      <c r="PXI2" s="15"/>
      <c r="PXJ2" s="15"/>
      <c r="PXK2" s="15"/>
      <c r="PXL2" s="15"/>
      <c r="PXM2" s="15"/>
      <c r="PXN2" s="15"/>
      <c r="PXO2" s="15"/>
      <c r="PXP2" s="15"/>
      <c r="PXQ2" s="15"/>
      <c r="PXR2" s="15"/>
      <c r="PXS2" s="15"/>
      <c r="PXT2" s="15"/>
      <c r="PXU2" s="15"/>
      <c r="PXV2" s="15"/>
      <c r="PXW2" s="15"/>
      <c r="PXX2" s="15"/>
      <c r="PXY2" s="15"/>
      <c r="PXZ2" s="15"/>
      <c r="PYA2" s="15"/>
      <c r="PYB2" s="15"/>
      <c r="PYC2" s="15"/>
      <c r="PYD2" s="15"/>
      <c r="PYE2" s="15"/>
      <c r="PYF2" s="15"/>
      <c r="PYG2" s="15"/>
      <c r="PYH2" s="15"/>
      <c r="PYI2" s="15"/>
      <c r="PYJ2" s="15"/>
      <c r="PYK2" s="15"/>
      <c r="PYL2" s="15"/>
      <c r="PYM2" s="15"/>
      <c r="PYN2" s="15"/>
      <c r="PYO2" s="15"/>
      <c r="PYP2" s="15"/>
      <c r="PYQ2" s="15"/>
      <c r="PYR2" s="15"/>
      <c r="PYS2" s="15"/>
      <c r="PYT2" s="15"/>
      <c r="PYU2" s="15"/>
      <c r="PYV2" s="15"/>
      <c r="PYW2" s="15"/>
      <c r="PYX2" s="15"/>
      <c r="PYY2" s="15"/>
      <c r="PYZ2" s="15"/>
      <c r="PZA2" s="15"/>
      <c r="PZB2" s="15"/>
      <c r="PZC2" s="15"/>
      <c r="PZD2" s="15"/>
      <c r="PZE2" s="15"/>
      <c r="PZF2" s="15"/>
      <c r="PZG2" s="15"/>
      <c r="PZH2" s="15"/>
      <c r="PZI2" s="15"/>
      <c r="PZJ2" s="15"/>
      <c r="PZK2" s="15"/>
      <c r="PZL2" s="15"/>
      <c r="PZM2" s="15"/>
      <c r="PZN2" s="15"/>
      <c r="PZO2" s="15"/>
      <c r="PZP2" s="15"/>
      <c r="PZQ2" s="15"/>
      <c r="PZR2" s="15"/>
      <c r="PZS2" s="15"/>
      <c r="PZT2" s="15"/>
      <c r="PZU2" s="15"/>
      <c r="PZV2" s="15"/>
      <c r="PZW2" s="15"/>
      <c r="PZX2" s="15"/>
      <c r="PZY2" s="15"/>
      <c r="PZZ2" s="15"/>
      <c r="QAA2" s="15"/>
      <c r="QAB2" s="15"/>
      <c r="QAC2" s="15"/>
      <c r="QAD2" s="15"/>
      <c r="QAE2" s="15"/>
      <c r="QAF2" s="15"/>
      <c r="QAG2" s="15"/>
      <c r="QAH2" s="15"/>
      <c r="QAI2" s="15"/>
      <c r="QAJ2" s="15"/>
      <c r="QAK2" s="15"/>
      <c r="QAL2" s="15"/>
      <c r="QAM2" s="15"/>
      <c r="QAN2" s="15"/>
      <c r="QAO2" s="15"/>
      <c r="QAP2" s="15"/>
      <c r="QAQ2" s="15"/>
      <c r="QAR2" s="15"/>
      <c r="QAS2" s="15"/>
      <c r="QAT2" s="15"/>
      <c r="QAU2" s="15"/>
      <c r="QAV2" s="15"/>
      <c r="QAW2" s="15"/>
      <c r="QAX2" s="15"/>
      <c r="QAY2" s="15"/>
      <c r="QAZ2" s="15"/>
      <c r="QBA2" s="15"/>
      <c r="QBB2" s="15"/>
      <c r="QBC2" s="15"/>
      <c r="QBD2" s="15"/>
      <c r="QBE2" s="15"/>
      <c r="QBF2" s="15"/>
      <c r="QBG2" s="15"/>
      <c r="QBH2" s="15"/>
      <c r="QBI2" s="15"/>
      <c r="QBJ2" s="15"/>
      <c r="QBK2" s="15"/>
      <c r="QBL2" s="15"/>
      <c r="QBM2" s="15"/>
      <c r="QBN2" s="15"/>
      <c r="QBO2" s="15"/>
      <c r="QBP2" s="15"/>
      <c r="QBQ2" s="15"/>
      <c r="QBR2" s="15"/>
      <c r="QBS2" s="15"/>
      <c r="QBT2" s="15"/>
      <c r="QBU2" s="15"/>
      <c r="QBV2" s="15"/>
      <c r="QBW2" s="15"/>
      <c r="QBX2" s="15"/>
      <c r="QBY2" s="15"/>
      <c r="QBZ2" s="15"/>
      <c r="QCA2" s="15"/>
      <c r="QCB2" s="15"/>
      <c r="QCC2" s="15"/>
      <c r="QCD2" s="15"/>
      <c r="QCE2" s="15"/>
      <c r="QCF2" s="15"/>
      <c r="QCG2" s="15"/>
      <c r="QCH2" s="15"/>
      <c r="QCI2" s="15"/>
      <c r="QCJ2" s="15"/>
      <c r="QCK2" s="15"/>
      <c r="QCL2" s="15"/>
      <c r="QCM2" s="15"/>
      <c r="QCN2" s="15"/>
      <c r="QCO2" s="15"/>
      <c r="QCP2" s="15"/>
      <c r="QCQ2" s="15"/>
      <c r="QCR2" s="15"/>
      <c r="QCS2" s="15"/>
      <c r="QCT2" s="15"/>
      <c r="QCU2" s="15"/>
      <c r="QCV2" s="15"/>
      <c r="QCW2" s="15"/>
      <c r="QCX2" s="15"/>
      <c r="QCY2" s="15"/>
      <c r="QCZ2" s="15"/>
      <c r="QDA2" s="15"/>
      <c r="QDB2" s="15"/>
      <c r="QDC2" s="15"/>
      <c r="QDD2" s="15"/>
      <c r="QDE2" s="15"/>
      <c r="QDF2" s="15"/>
      <c r="QDG2" s="15"/>
      <c r="QDH2" s="15"/>
      <c r="QDI2" s="15"/>
      <c r="QDJ2" s="15"/>
      <c r="QDK2" s="15"/>
      <c r="QDL2" s="15"/>
      <c r="QDM2" s="15"/>
      <c r="QDN2" s="15"/>
      <c r="QDO2" s="15"/>
      <c r="QDP2" s="15"/>
      <c r="QDQ2" s="15"/>
      <c r="QDR2" s="15"/>
      <c r="QDS2" s="15"/>
      <c r="QDT2" s="15"/>
      <c r="QDU2" s="15"/>
      <c r="QDV2" s="15"/>
      <c r="QDW2" s="15"/>
      <c r="QDX2" s="15"/>
      <c r="QDY2" s="15"/>
      <c r="QDZ2" s="15"/>
      <c r="QEA2" s="15"/>
      <c r="QEB2" s="15"/>
      <c r="QEC2" s="15"/>
      <c r="QED2" s="15"/>
      <c r="QEE2" s="15"/>
      <c r="QEF2" s="15"/>
      <c r="QEG2" s="15"/>
      <c r="QEH2" s="15"/>
      <c r="QEI2" s="15"/>
      <c r="QEJ2" s="15"/>
      <c r="QEK2" s="15"/>
      <c r="QEL2" s="15"/>
      <c r="QEM2" s="15"/>
      <c r="QEN2" s="15"/>
      <c r="QEO2" s="15"/>
      <c r="QEP2" s="15"/>
      <c r="QEQ2" s="15"/>
      <c r="QER2" s="15"/>
      <c r="QES2" s="15"/>
      <c r="QET2" s="15"/>
      <c r="QEU2" s="15"/>
      <c r="QEV2" s="15"/>
      <c r="QEW2" s="15"/>
      <c r="QEX2" s="15"/>
      <c r="QEY2" s="15"/>
      <c r="QEZ2" s="15"/>
      <c r="QFA2" s="15"/>
      <c r="QFB2" s="15"/>
      <c r="QFC2" s="15"/>
      <c r="QFD2" s="15"/>
      <c r="QFE2" s="15"/>
      <c r="QFF2" s="15"/>
      <c r="QFG2" s="15"/>
      <c r="QFH2" s="15"/>
      <c r="QFI2" s="15"/>
      <c r="QFJ2" s="15"/>
      <c r="QFK2" s="15"/>
      <c r="QFL2" s="15"/>
      <c r="QFM2" s="15"/>
      <c r="QFN2" s="15"/>
      <c r="QFO2" s="15"/>
      <c r="QFP2" s="15"/>
      <c r="QFQ2" s="15"/>
      <c r="QFR2" s="15"/>
      <c r="QFS2" s="15"/>
      <c r="QFT2" s="15"/>
      <c r="QFU2" s="15"/>
      <c r="QFV2" s="15"/>
      <c r="QFW2" s="15"/>
      <c r="QFX2" s="15"/>
      <c r="QFY2" s="15"/>
      <c r="QFZ2" s="15"/>
      <c r="QGA2" s="15"/>
      <c r="QGB2" s="15"/>
      <c r="QGC2" s="15"/>
      <c r="QGD2" s="15"/>
      <c r="QGE2" s="15"/>
      <c r="QGF2" s="15"/>
      <c r="QGG2" s="15"/>
      <c r="QGH2" s="15"/>
      <c r="QGI2" s="15"/>
      <c r="QGJ2" s="15"/>
      <c r="QGK2" s="15"/>
      <c r="QGL2" s="15"/>
      <c r="QGM2" s="15"/>
      <c r="QGN2" s="15"/>
      <c r="QGO2" s="15"/>
      <c r="QGP2" s="15"/>
      <c r="QGQ2" s="15"/>
      <c r="QGR2" s="15"/>
      <c r="QGS2" s="15"/>
      <c r="QGT2" s="15"/>
      <c r="QGU2" s="15"/>
      <c r="QGV2" s="15"/>
      <c r="QGW2" s="15"/>
      <c r="QGX2" s="15"/>
      <c r="QGY2" s="15"/>
      <c r="QGZ2" s="15"/>
      <c r="QHA2" s="15"/>
      <c r="QHB2" s="15"/>
      <c r="QHC2" s="15"/>
      <c r="QHD2" s="15"/>
      <c r="QHE2" s="15"/>
      <c r="QHF2" s="15"/>
      <c r="QHG2" s="15"/>
      <c r="QHH2" s="15"/>
      <c r="QHI2" s="15"/>
      <c r="QHJ2" s="15"/>
      <c r="QHK2" s="15"/>
      <c r="QHL2" s="15"/>
      <c r="QHM2" s="15"/>
      <c r="QHN2" s="15"/>
      <c r="QHO2" s="15"/>
      <c r="QHP2" s="15"/>
      <c r="QHQ2" s="15"/>
      <c r="QHR2" s="15"/>
      <c r="QHS2" s="15"/>
      <c r="QHT2" s="15"/>
      <c r="QHU2" s="15"/>
      <c r="QHV2" s="15"/>
      <c r="QHW2" s="15"/>
      <c r="QHX2" s="15"/>
      <c r="QHY2" s="15"/>
      <c r="QHZ2" s="15"/>
      <c r="QIA2" s="15"/>
      <c r="QIB2" s="15"/>
      <c r="QIC2" s="15"/>
      <c r="QID2" s="15"/>
      <c r="QIE2" s="15"/>
      <c r="QIF2" s="15"/>
      <c r="QIG2" s="15"/>
      <c r="QIH2" s="15"/>
      <c r="QII2" s="15"/>
      <c r="QIJ2" s="15"/>
      <c r="QIK2" s="15"/>
      <c r="QIL2" s="15"/>
      <c r="QIM2" s="15"/>
      <c r="QIN2" s="15"/>
      <c r="QIO2" s="15"/>
      <c r="QIP2" s="15"/>
      <c r="QIQ2" s="15"/>
      <c r="QIR2" s="15"/>
      <c r="QIS2" s="15"/>
      <c r="QIT2" s="15"/>
      <c r="QIU2" s="15"/>
      <c r="QIV2" s="15"/>
      <c r="QIW2" s="15"/>
      <c r="QIX2" s="15"/>
      <c r="QIY2" s="15"/>
      <c r="QIZ2" s="15"/>
      <c r="QJA2" s="15"/>
      <c r="QJB2" s="15"/>
      <c r="QJC2" s="15"/>
      <c r="QJD2" s="15"/>
      <c r="QJE2" s="15"/>
      <c r="QJF2" s="15"/>
      <c r="QJG2" s="15"/>
      <c r="QJH2" s="15"/>
      <c r="QJI2" s="15"/>
      <c r="QJJ2" s="15"/>
      <c r="QJK2" s="15"/>
      <c r="QJL2" s="15"/>
      <c r="QJM2" s="15"/>
      <c r="QJN2" s="15"/>
      <c r="QJO2" s="15"/>
      <c r="QJP2" s="15"/>
      <c r="QJQ2" s="15"/>
      <c r="QJR2" s="15"/>
      <c r="QJS2" s="15"/>
      <c r="QJT2" s="15"/>
      <c r="QJU2" s="15"/>
      <c r="QJV2" s="15"/>
      <c r="QJW2" s="15"/>
      <c r="QJX2" s="15"/>
      <c r="QJY2" s="15"/>
      <c r="QJZ2" s="15"/>
      <c r="QKA2" s="15"/>
      <c r="QKB2" s="15"/>
      <c r="QKC2" s="15"/>
      <c r="QKD2" s="15"/>
      <c r="QKE2" s="15"/>
      <c r="QKF2" s="15"/>
      <c r="QKG2" s="15"/>
      <c r="QKH2" s="15"/>
      <c r="QKI2" s="15"/>
      <c r="QKJ2" s="15"/>
      <c r="QKK2" s="15"/>
      <c r="QKL2" s="15"/>
      <c r="QKM2" s="15"/>
      <c r="QKN2" s="15"/>
      <c r="QKO2" s="15"/>
      <c r="QKP2" s="15"/>
      <c r="QKQ2" s="15"/>
      <c r="QKR2" s="15"/>
      <c r="QKS2" s="15"/>
      <c r="QKT2" s="15"/>
      <c r="QKU2" s="15"/>
      <c r="QKV2" s="15"/>
      <c r="QKW2" s="15"/>
      <c r="QKX2" s="15"/>
      <c r="QKY2" s="15"/>
      <c r="QKZ2" s="15"/>
      <c r="QLA2" s="15"/>
      <c r="QLB2" s="15"/>
      <c r="QLC2" s="15"/>
      <c r="QLD2" s="15"/>
      <c r="QLE2" s="15"/>
      <c r="QLF2" s="15"/>
      <c r="QLG2" s="15"/>
      <c r="QLH2" s="15"/>
      <c r="QLI2" s="15"/>
      <c r="QLJ2" s="15"/>
      <c r="QLK2" s="15"/>
      <c r="QLL2" s="15"/>
      <c r="QLM2" s="15"/>
      <c r="QLN2" s="15"/>
      <c r="QLO2" s="15"/>
      <c r="QLP2" s="15"/>
      <c r="QLQ2" s="15"/>
      <c r="QLR2" s="15"/>
      <c r="QLS2" s="15"/>
      <c r="QLT2" s="15"/>
      <c r="QLU2" s="15"/>
      <c r="QLV2" s="15"/>
      <c r="QLW2" s="15"/>
      <c r="QLX2" s="15"/>
      <c r="QLY2" s="15"/>
      <c r="QLZ2" s="15"/>
      <c r="QMA2" s="15"/>
      <c r="QMB2" s="15"/>
      <c r="QMC2" s="15"/>
      <c r="QMD2" s="15"/>
      <c r="QME2" s="15"/>
      <c r="QMF2" s="15"/>
      <c r="QMG2" s="15"/>
      <c r="QMH2" s="15"/>
      <c r="QMI2" s="15"/>
      <c r="QMJ2" s="15"/>
      <c r="QMK2" s="15"/>
      <c r="QML2" s="15"/>
      <c r="QMM2" s="15"/>
      <c r="QMN2" s="15"/>
      <c r="QMO2" s="15"/>
      <c r="QMP2" s="15"/>
      <c r="QMQ2" s="15"/>
      <c r="QMR2" s="15"/>
      <c r="QMS2" s="15"/>
      <c r="QMT2" s="15"/>
      <c r="QMU2" s="15"/>
      <c r="QMV2" s="15"/>
      <c r="QMW2" s="15"/>
      <c r="QMX2" s="15"/>
      <c r="QMY2" s="15"/>
      <c r="QMZ2" s="15"/>
      <c r="QNA2" s="15"/>
      <c r="QNB2" s="15"/>
      <c r="QNC2" s="15"/>
      <c r="QND2" s="15"/>
      <c r="QNE2" s="15"/>
      <c r="QNF2" s="15"/>
      <c r="QNG2" s="15"/>
      <c r="QNH2" s="15"/>
      <c r="QNI2" s="15"/>
      <c r="QNJ2" s="15"/>
      <c r="QNK2" s="15"/>
      <c r="QNL2" s="15"/>
      <c r="QNM2" s="15"/>
      <c r="QNN2" s="15"/>
      <c r="QNO2" s="15"/>
      <c r="QNP2" s="15"/>
      <c r="QNQ2" s="15"/>
      <c r="QNR2" s="15"/>
      <c r="QNS2" s="15"/>
      <c r="QNT2" s="15"/>
      <c r="QNU2" s="15"/>
      <c r="QNV2" s="15"/>
      <c r="QNW2" s="15"/>
      <c r="QNX2" s="15"/>
      <c r="QNY2" s="15"/>
      <c r="QNZ2" s="15"/>
      <c r="QOA2" s="15"/>
      <c r="QOB2" s="15"/>
      <c r="QOC2" s="15"/>
      <c r="QOD2" s="15"/>
      <c r="QOE2" s="15"/>
      <c r="QOF2" s="15"/>
      <c r="QOG2" s="15"/>
      <c r="QOH2" s="15"/>
      <c r="QOI2" s="15"/>
      <c r="QOJ2" s="15"/>
      <c r="QOK2" s="15"/>
      <c r="QOL2" s="15"/>
      <c r="QOM2" s="15"/>
      <c r="QON2" s="15"/>
      <c r="QOO2" s="15"/>
      <c r="QOP2" s="15"/>
      <c r="QOQ2" s="15"/>
      <c r="QOR2" s="15"/>
      <c r="QOS2" s="15"/>
      <c r="QOT2" s="15"/>
      <c r="QOU2" s="15"/>
      <c r="QOV2" s="15"/>
      <c r="QOW2" s="15"/>
      <c r="QOX2" s="15"/>
      <c r="QOY2" s="15"/>
      <c r="QOZ2" s="15"/>
      <c r="QPA2" s="15"/>
      <c r="QPB2" s="15"/>
      <c r="QPC2" s="15"/>
      <c r="QPD2" s="15"/>
      <c r="QPE2" s="15"/>
      <c r="QPF2" s="15"/>
      <c r="QPG2" s="15"/>
      <c r="QPH2" s="15"/>
      <c r="QPI2" s="15"/>
      <c r="QPJ2" s="15"/>
      <c r="QPK2" s="15"/>
      <c r="QPL2" s="15"/>
      <c r="QPM2" s="15"/>
      <c r="QPN2" s="15"/>
      <c r="QPO2" s="15"/>
      <c r="QPP2" s="15"/>
      <c r="QPQ2" s="15"/>
      <c r="QPR2" s="15"/>
      <c r="QPS2" s="15"/>
      <c r="QPT2" s="15"/>
      <c r="QPU2" s="15"/>
      <c r="QPV2" s="15"/>
      <c r="QPW2" s="15"/>
      <c r="QPX2" s="15"/>
      <c r="QPY2" s="15"/>
      <c r="QPZ2" s="15"/>
      <c r="QQA2" s="15"/>
      <c r="QQB2" s="15"/>
      <c r="QQC2" s="15"/>
      <c r="QQD2" s="15"/>
      <c r="QQE2" s="15"/>
      <c r="QQF2" s="15"/>
      <c r="QQG2" s="15"/>
      <c r="QQH2" s="15"/>
      <c r="QQI2" s="15"/>
      <c r="QQJ2" s="15"/>
      <c r="QQK2" s="15"/>
      <c r="QQL2" s="15"/>
      <c r="QQM2" s="15"/>
      <c r="QQN2" s="15"/>
      <c r="QQO2" s="15"/>
      <c r="QQP2" s="15"/>
      <c r="QQQ2" s="15"/>
      <c r="QQR2" s="15"/>
      <c r="QQS2" s="15"/>
      <c r="QQT2" s="15"/>
      <c r="QQU2" s="15"/>
      <c r="QQV2" s="15"/>
      <c r="QQW2" s="15"/>
      <c r="QQX2" s="15"/>
      <c r="QQY2" s="15"/>
      <c r="QQZ2" s="15"/>
      <c r="QRA2" s="15"/>
      <c r="QRB2" s="15"/>
      <c r="QRC2" s="15"/>
      <c r="QRD2" s="15"/>
      <c r="QRE2" s="15"/>
      <c r="QRF2" s="15"/>
      <c r="QRG2" s="15"/>
      <c r="QRH2" s="15"/>
      <c r="QRI2" s="15"/>
      <c r="QRJ2" s="15"/>
      <c r="QRK2" s="15"/>
      <c r="QRL2" s="15"/>
      <c r="QRM2" s="15"/>
      <c r="QRN2" s="15"/>
      <c r="QRO2" s="15"/>
      <c r="QRP2" s="15"/>
      <c r="QRQ2" s="15"/>
      <c r="QRR2" s="15"/>
      <c r="QRS2" s="15"/>
      <c r="QRT2" s="15"/>
      <c r="QRU2" s="15"/>
      <c r="QRV2" s="15"/>
      <c r="QRW2" s="15"/>
      <c r="QRX2" s="15"/>
      <c r="QRY2" s="15"/>
      <c r="QRZ2" s="15"/>
      <c r="QSA2" s="15"/>
      <c r="QSB2" s="15"/>
      <c r="QSC2" s="15"/>
      <c r="QSD2" s="15"/>
      <c r="QSE2" s="15"/>
      <c r="QSF2" s="15"/>
      <c r="QSG2" s="15"/>
      <c r="QSH2" s="15"/>
      <c r="QSI2" s="15"/>
      <c r="QSJ2" s="15"/>
      <c r="QSK2" s="15"/>
      <c r="QSL2" s="15"/>
      <c r="QSM2" s="15"/>
      <c r="QSN2" s="15"/>
      <c r="QSO2" s="15"/>
      <c r="QSP2" s="15"/>
      <c r="QSQ2" s="15"/>
      <c r="QSR2" s="15"/>
      <c r="QSS2" s="15"/>
      <c r="QST2" s="15"/>
      <c r="QSU2" s="15"/>
      <c r="QSV2" s="15"/>
      <c r="QSW2" s="15"/>
      <c r="QSX2" s="15"/>
      <c r="QSY2" s="15"/>
      <c r="QSZ2" s="15"/>
      <c r="QTA2" s="15"/>
      <c r="QTB2" s="15"/>
      <c r="QTC2" s="15"/>
      <c r="QTD2" s="15"/>
      <c r="QTE2" s="15"/>
      <c r="QTF2" s="15"/>
      <c r="QTG2" s="15"/>
      <c r="QTH2" s="15"/>
      <c r="QTI2" s="15"/>
      <c r="QTJ2" s="15"/>
      <c r="QTK2" s="15"/>
      <c r="QTL2" s="15"/>
      <c r="QTM2" s="15"/>
      <c r="QTN2" s="15"/>
      <c r="QTO2" s="15"/>
      <c r="QTP2" s="15"/>
      <c r="QTQ2" s="15"/>
      <c r="QTR2" s="15"/>
      <c r="QTS2" s="15"/>
      <c r="QTT2" s="15"/>
      <c r="QTU2" s="15"/>
      <c r="QTV2" s="15"/>
      <c r="QTW2" s="15"/>
      <c r="QTX2" s="15"/>
      <c r="QTY2" s="15"/>
      <c r="QTZ2" s="15"/>
      <c r="QUA2" s="15"/>
      <c r="QUB2" s="15"/>
      <c r="QUC2" s="15"/>
      <c r="QUD2" s="15"/>
      <c r="QUE2" s="15"/>
      <c r="QUF2" s="15"/>
      <c r="QUG2" s="15"/>
      <c r="QUH2" s="15"/>
      <c r="QUI2" s="15"/>
      <c r="QUJ2" s="15"/>
      <c r="QUK2" s="15"/>
      <c r="QUL2" s="15"/>
      <c r="QUM2" s="15"/>
      <c r="QUN2" s="15"/>
      <c r="QUO2" s="15"/>
      <c r="QUP2" s="15"/>
      <c r="QUQ2" s="15"/>
      <c r="QUR2" s="15"/>
      <c r="QUS2" s="15"/>
      <c r="QUT2" s="15"/>
      <c r="QUU2" s="15"/>
      <c r="QUV2" s="15"/>
      <c r="QUW2" s="15"/>
      <c r="QUX2" s="15"/>
      <c r="QUY2" s="15"/>
      <c r="QUZ2" s="15"/>
      <c r="QVA2" s="15"/>
      <c r="QVB2" s="15"/>
      <c r="QVC2" s="15"/>
      <c r="QVD2" s="15"/>
      <c r="QVE2" s="15"/>
      <c r="QVF2" s="15"/>
      <c r="QVG2" s="15"/>
      <c r="QVH2" s="15"/>
      <c r="QVI2" s="15"/>
      <c r="QVJ2" s="15"/>
      <c r="QVK2" s="15"/>
      <c r="QVL2" s="15"/>
      <c r="QVM2" s="15"/>
      <c r="QVN2" s="15"/>
      <c r="QVO2" s="15"/>
      <c r="QVP2" s="15"/>
      <c r="QVQ2" s="15"/>
      <c r="QVR2" s="15"/>
      <c r="QVS2" s="15"/>
      <c r="QVT2" s="15"/>
      <c r="QVU2" s="15"/>
      <c r="QVV2" s="15"/>
      <c r="QVW2" s="15"/>
      <c r="QVX2" s="15"/>
      <c r="QVY2" s="15"/>
      <c r="QVZ2" s="15"/>
      <c r="QWA2" s="15"/>
      <c r="QWB2" s="15"/>
      <c r="QWC2" s="15"/>
      <c r="QWD2" s="15"/>
      <c r="QWE2" s="15"/>
      <c r="QWF2" s="15"/>
      <c r="QWG2" s="15"/>
      <c r="QWH2" s="15"/>
      <c r="QWI2" s="15"/>
      <c r="QWJ2" s="15"/>
      <c r="QWK2" s="15"/>
      <c r="QWL2" s="15"/>
      <c r="QWM2" s="15"/>
      <c r="QWN2" s="15"/>
      <c r="QWO2" s="15"/>
      <c r="QWP2" s="15"/>
      <c r="QWQ2" s="15"/>
      <c r="QWR2" s="15"/>
      <c r="QWS2" s="15"/>
      <c r="QWT2" s="15"/>
      <c r="QWU2" s="15"/>
      <c r="QWV2" s="15"/>
      <c r="QWW2" s="15"/>
      <c r="QWX2" s="15"/>
      <c r="QWY2" s="15"/>
      <c r="QWZ2" s="15"/>
      <c r="QXA2" s="15"/>
      <c r="QXB2" s="15"/>
      <c r="QXC2" s="15"/>
      <c r="QXD2" s="15"/>
      <c r="QXE2" s="15"/>
      <c r="QXF2" s="15"/>
      <c r="QXG2" s="15"/>
      <c r="QXH2" s="15"/>
      <c r="QXI2" s="15"/>
      <c r="QXJ2" s="15"/>
      <c r="QXK2" s="15"/>
      <c r="QXL2" s="15"/>
      <c r="QXM2" s="15"/>
      <c r="QXN2" s="15"/>
      <c r="QXO2" s="15"/>
      <c r="QXP2" s="15"/>
      <c r="QXQ2" s="15"/>
      <c r="QXR2" s="15"/>
      <c r="QXS2" s="15"/>
      <c r="QXT2" s="15"/>
      <c r="QXU2" s="15"/>
      <c r="QXV2" s="15"/>
      <c r="QXW2" s="15"/>
      <c r="QXX2" s="15"/>
      <c r="QXY2" s="15"/>
      <c r="QXZ2" s="15"/>
      <c r="QYA2" s="15"/>
      <c r="QYB2" s="15"/>
      <c r="QYC2" s="15"/>
      <c r="QYD2" s="15"/>
      <c r="QYE2" s="15"/>
      <c r="QYF2" s="15"/>
      <c r="QYG2" s="15"/>
      <c r="QYH2" s="15"/>
      <c r="QYI2" s="15"/>
      <c r="QYJ2" s="15"/>
      <c r="QYK2" s="15"/>
      <c r="QYL2" s="15"/>
      <c r="QYM2" s="15"/>
      <c r="QYN2" s="15"/>
      <c r="QYO2" s="15"/>
      <c r="QYP2" s="15"/>
      <c r="QYQ2" s="15"/>
      <c r="QYR2" s="15"/>
      <c r="QYS2" s="15"/>
      <c r="QYT2" s="15"/>
      <c r="QYU2" s="15"/>
      <c r="QYV2" s="15"/>
      <c r="QYW2" s="15"/>
      <c r="QYX2" s="15"/>
      <c r="QYY2" s="15"/>
      <c r="QYZ2" s="15"/>
      <c r="QZA2" s="15"/>
      <c r="QZB2" s="15"/>
      <c r="QZC2" s="15"/>
      <c r="QZD2" s="15"/>
      <c r="QZE2" s="15"/>
      <c r="QZF2" s="15"/>
      <c r="QZG2" s="15"/>
      <c r="QZH2" s="15"/>
      <c r="QZI2" s="15"/>
      <c r="QZJ2" s="15"/>
      <c r="QZK2" s="15"/>
      <c r="QZL2" s="15"/>
      <c r="QZM2" s="15"/>
      <c r="QZN2" s="15"/>
      <c r="QZO2" s="15"/>
      <c r="QZP2" s="15"/>
      <c r="QZQ2" s="15"/>
      <c r="QZR2" s="15"/>
      <c r="QZS2" s="15"/>
      <c r="QZT2" s="15"/>
      <c r="QZU2" s="15"/>
      <c r="QZV2" s="15"/>
      <c r="QZW2" s="15"/>
      <c r="QZX2" s="15"/>
      <c r="QZY2" s="15"/>
      <c r="QZZ2" s="15"/>
      <c r="RAA2" s="15"/>
      <c r="RAB2" s="15"/>
      <c r="RAC2" s="15"/>
      <c r="RAD2" s="15"/>
      <c r="RAE2" s="15"/>
      <c r="RAF2" s="15"/>
      <c r="RAG2" s="15"/>
      <c r="RAH2" s="15"/>
      <c r="RAI2" s="15"/>
      <c r="RAJ2" s="15"/>
      <c r="RAK2" s="15"/>
      <c r="RAL2" s="15"/>
      <c r="RAM2" s="15"/>
      <c r="RAN2" s="15"/>
      <c r="RAO2" s="15"/>
      <c r="RAP2" s="15"/>
      <c r="RAQ2" s="15"/>
      <c r="RAR2" s="15"/>
      <c r="RAS2" s="15"/>
      <c r="RAT2" s="15"/>
      <c r="RAU2" s="15"/>
      <c r="RAV2" s="15"/>
      <c r="RAW2" s="15"/>
      <c r="RAX2" s="15"/>
      <c r="RAY2" s="15"/>
      <c r="RAZ2" s="15"/>
      <c r="RBA2" s="15"/>
      <c r="RBB2" s="15"/>
      <c r="RBC2" s="15"/>
      <c r="RBD2" s="15"/>
      <c r="RBE2" s="15"/>
      <c r="RBF2" s="15"/>
      <c r="RBG2" s="15"/>
      <c r="RBH2" s="15"/>
      <c r="RBI2" s="15"/>
      <c r="RBJ2" s="15"/>
      <c r="RBK2" s="15"/>
      <c r="RBL2" s="15"/>
      <c r="RBM2" s="15"/>
      <c r="RBN2" s="15"/>
      <c r="RBO2" s="15"/>
      <c r="RBP2" s="15"/>
      <c r="RBQ2" s="15"/>
      <c r="RBR2" s="15"/>
      <c r="RBS2" s="15"/>
      <c r="RBT2" s="15"/>
      <c r="RBU2" s="15"/>
      <c r="RBV2" s="15"/>
      <c r="RBW2" s="15"/>
      <c r="RBX2" s="15"/>
      <c r="RBY2" s="15"/>
      <c r="RBZ2" s="15"/>
      <c r="RCA2" s="15"/>
      <c r="RCB2" s="15"/>
      <c r="RCC2" s="15"/>
      <c r="RCD2" s="15"/>
      <c r="RCE2" s="15"/>
      <c r="RCF2" s="15"/>
      <c r="RCG2" s="15"/>
      <c r="RCH2" s="15"/>
      <c r="RCI2" s="15"/>
      <c r="RCJ2" s="15"/>
      <c r="RCK2" s="15"/>
      <c r="RCL2" s="15"/>
      <c r="RCM2" s="15"/>
      <c r="RCN2" s="15"/>
      <c r="RCO2" s="15"/>
      <c r="RCP2" s="15"/>
      <c r="RCQ2" s="15"/>
      <c r="RCR2" s="15"/>
      <c r="RCS2" s="15"/>
      <c r="RCT2" s="15"/>
      <c r="RCU2" s="15"/>
      <c r="RCV2" s="15"/>
      <c r="RCW2" s="15"/>
      <c r="RCX2" s="15"/>
      <c r="RCY2" s="15"/>
      <c r="RCZ2" s="15"/>
      <c r="RDA2" s="15"/>
      <c r="RDB2" s="15"/>
      <c r="RDC2" s="15"/>
      <c r="RDD2" s="15"/>
      <c r="RDE2" s="15"/>
      <c r="RDF2" s="15"/>
      <c r="RDG2" s="15"/>
      <c r="RDH2" s="15"/>
      <c r="RDI2" s="15"/>
      <c r="RDJ2" s="15"/>
      <c r="RDK2" s="15"/>
      <c r="RDL2" s="15"/>
      <c r="RDM2" s="15"/>
      <c r="RDN2" s="15"/>
      <c r="RDO2" s="15"/>
      <c r="RDP2" s="15"/>
      <c r="RDQ2" s="15"/>
      <c r="RDR2" s="15"/>
      <c r="RDS2" s="15"/>
      <c r="RDT2" s="15"/>
      <c r="RDU2" s="15"/>
      <c r="RDV2" s="15"/>
      <c r="RDW2" s="15"/>
      <c r="RDX2" s="15"/>
      <c r="RDY2" s="15"/>
      <c r="RDZ2" s="15"/>
      <c r="REA2" s="15"/>
      <c r="REB2" s="15"/>
      <c r="REC2" s="15"/>
      <c r="RED2" s="15"/>
      <c r="REE2" s="15"/>
      <c r="REF2" s="15"/>
      <c r="REG2" s="15"/>
      <c r="REH2" s="15"/>
      <c r="REI2" s="15"/>
      <c r="REJ2" s="15"/>
      <c r="REK2" s="15"/>
      <c r="REL2" s="15"/>
      <c r="REM2" s="15"/>
      <c r="REN2" s="15"/>
      <c r="REO2" s="15"/>
      <c r="REP2" s="15"/>
      <c r="REQ2" s="15"/>
      <c r="RER2" s="15"/>
      <c r="RES2" s="15"/>
      <c r="RET2" s="15"/>
      <c r="REU2" s="15"/>
      <c r="REV2" s="15"/>
      <c r="REW2" s="15"/>
      <c r="REX2" s="15"/>
      <c r="REY2" s="15"/>
      <c r="REZ2" s="15"/>
      <c r="RFA2" s="15"/>
      <c r="RFB2" s="15"/>
      <c r="RFC2" s="15"/>
      <c r="RFD2" s="15"/>
      <c r="RFE2" s="15"/>
      <c r="RFF2" s="15"/>
      <c r="RFG2" s="15"/>
      <c r="RFH2" s="15"/>
      <c r="RFI2" s="15"/>
      <c r="RFJ2" s="15"/>
      <c r="RFK2" s="15"/>
      <c r="RFL2" s="15"/>
      <c r="RFM2" s="15"/>
      <c r="RFN2" s="15"/>
      <c r="RFO2" s="15"/>
      <c r="RFP2" s="15"/>
      <c r="RFQ2" s="15"/>
      <c r="RFR2" s="15"/>
      <c r="RFS2" s="15"/>
      <c r="RFT2" s="15"/>
      <c r="RFU2" s="15"/>
      <c r="RFV2" s="15"/>
      <c r="RFW2" s="15"/>
      <c r="RFX2" s="15"/>
      <c r="RFY2" s="15"/>
      <c r="RFZ2" s="15"/>
      <c r="RGA2" s="15"/>
      <c r="RGB2" s="15"/>
      <c r="RGC2" s="15"/>
      <c r="RGD2" s="15"/>
      <c r="RGE2" s="15"/>
      <c r="RGF2" s="15"/>
      <c r="RGG2" s="15"/>
      <c r="RGH2" s="15"/>
      <c r="RGI2" s="15"/>
      <c r="RGJ2" s="15"/>
      <c r="RGK2" s="15"/>
      <c r="RGL2" s="15"/>
      <c r="RGM2" s="15"/>
      <c r="RGN2" s="15"/>
      <c r="RGO2" s="15"/>
      <c r="RGP2" s="15"/>
      <c r="RGQ2" s="15"/>
      <c r="RGR2" s="15"/>
      <c r="RGS2" s="15"/>
      <c r="RGT2" s="15"/>
      <c r="RGU2" s="15"/>
      <c r="RGV2" s="15"/>
      <c r="RGW2" s="15"/>
      <c r="RGX2" s="15"/>
      <c r="RGY2" s="15"/>
      <c r="RGZ2" s="15"/>
      <c r="RHA2" s="15"/>
      <c r="RHB2" s="15"/>
      <c r="RHC2" s="15"/>
      <c r="RHD2" s="15"/>
      <c r="RHE2" s="15"/>
      <c r="RHF2" s="15"/>
      <c r="RHG2" s="15"/>
      <c r="RHH2" s="15"/>
      <c r="RHI2" s="15"/>
      <c r="RHJ2" s="15"/>
      <c r="RHK2" s="15"/>
      <c r="RHL2" s="15"/>
      <c r="RHM2" s="15"/>
      <c r="RHN2" s="15"/>
      <c r="RHO2" s="15"/>
      <c r="RHP2" s="15"/>
      <c r="RHQ2" s="15"/>
      <c r="RHR2" s="15"/>
      <c r="RHS2" s="15"/>
      <c r="RHT2" s="15"/>
      <c r="RHU2" s="15"/>
      <c r="RHV2" s="15"/>
      <c r="RHW2" s="15"/>
      <c r="RHX2" s="15"/>
      <c r="RHY2" s="15"/>
      <c r="RHZ2" s="15"/>
      <c r="RIA2" s="15"/>
      <c r="RIB2" s="15"/>
      <c r="RIC2" s="15"/>
      <c r="RID2" s="15"/>
      <c r="RIE2" s="15"/>
      <c r="RIF2" s="15"/>
      <c r="RIG2" s="15"/>
      <c r="RIH2" s="15"/>
      <c r="RII2" s="15"/>
      <c r="RIJ2" s="15"/>
      <c r="RIK2" s="15"/>
      <c r="RIL2" s="15"/>
      <c r="RIM2" s="15"/>
      <c r="RIN2" s="15"/>
      <c r="RIO2" s="15"/>
      <c r="RIP2" s="15"/>
      <c r="RIQ2" s="15"/>
      <c r="RIR2" s="15"/>
      <c r="RIS2" s="15"/>
      <c r="RIT2" s="15"/>
      <c r="RIU2" s="15"/>
      <c r="RIV2" s="15"/>
      <c r="RIW2" s="15"/>
      <c r="RIX2" s="15"/>
      <c r="RIY2" s="15"/>
      <c r="RIZ2" s="15"/>
      <c r="RJA2" s="15"/>
      <c r="RJB2" s="15"/>
      <c r="RJC2" s="15"/>
      <c r="RJD2" s="15"/>
      <c r="RJE2" s="15"/>
      <c r="RJF2" s="15"/>
      <c r="RJG2" s="15"/>
      <c r="RJH2" s="15"/>
      <c r="RJI2" s="15"/>
      <c r="RJJ2" s="15"/>
      <c r="RJK2" s="15"/>
      <c r="RJL2" s="15"/>
      <c r="RJM2" s="15"/>
      <c r="RJN2" s="15"/>
      <c r="RJO2" s="15"/>
      <c r="RJP2" s="15"/>
      <c r="RJQ2" s="15"/>
      <c r="RJR2" s="15"/>
      <c r="RJS2" s="15"/>
      <c r="RJT2" s="15"/>
      <c r="RJU2" s="15"/>
      <c r="RJV2" s="15"/>
      <c r="RJW2" s="15"/>
      <c r="RJX2" s="15"/>
      <c r="RJY2" s="15"/>
      <c r="RJZ2" s="15"/>
      <c r="RKA2" s="15"/>
      <c r="RKB2" s="15"/>
      <c r="RKC2" s="15"/>
      <c r="RKD2" s="15"/>
      <c r="RKE2" s="15"/>
      <c r="RKF2" s="15"/>
      <c r="RKG2" s="15"/>
      <c r="RKH2" s="15"/>
      <c r="RKI2" s="15"/>
      <c r="RKJ2" s="15"/>
      <c r="RKK2" s="15"/>
      <c r="RKL2" s="15"/>
      <c r="RKM2" s="15"/>
      <c r="RKN2" s="15"/>
      <c r="RKO2" s="15"/>
      <c r="RKP2" s="15"/>
      <c r="RKQ2" s="15"/>
      <c r="RKR2" s="15"/>
      <c r="RKS2" s="15"/>
      <c r="RKT2" s="15"/>
      <c r="RKU2" s="15"/>
      <c r="RKV2" s="15"/>
      <c r="RKW2" s="15"/>
      <c r="RKX2" s="15"/>
      <c r="RKY2" s="15"/>
      <c r="RKZ2" s="15"/>
      <c r="RLA2" s="15"/>
      <c r="RLB2" s="15"/>
      <c r="RLC2" s="15"/>
      <c r="RLD2" s="15"/>
      <c r="RLE2" s="15"/>
      <c r="RLF2" s="15"/>
      <c r="RLG2" s="15"/>
      <c r="RLH2" s="15"/>
      <c r="RLI2" s="15"/>
      <c r="RLJ2" s="15"/>
      <c r="RLK2" s="15"/>
      <c r="RLL2" s="15"/>
      <c r="RLM2" s="15"/>
      <c r="RLN2" s="15"/>
      <c r="RLO2" s="15"/>
      <c r="RLP2" s="15"/>
      <c r="RLQ2" s="15"/>
      <c r="RLR2" s="15"/>
      <c r="RLS2" s="15"/>
      <c r="RLT2" s="15"/>
      <c r="RLU2" s="15"/>
      <c r="RLV2" s="15"/>
      <c r="RLW2" s="15"/>
      <c r="RLX2" s="15"/>
      <c r="RLY2" s="15"/>
      <c r="RLZ2" s="15"/>
      <c r="RMA2" s="15"/>
      <c r="RMB2" s="15"/>
      <c r="RMC2" s="15"/>
      <c r="RMD2" s="15"/>
      <c r="RME2" s="15"/>
      <c r="RMF2" s="15"/>
      <c r="RMG2" s="15"/>
      <c r="RMH2" s="15"/>
      <c r="RMI2" s="15"/>
      <c r="RMJ2" s="15"/>
      <c r="RMK2" s="15"/>
      <c r="RML2" s="15"/>
      <c r="RMM2" s="15"/>
      <c r="RMN2" s="15"/>
      <c r="RMO2" s="15"/>
      <c r="RMP2" s="15"/>
      <c r="RMQ2" s="15"/>
      <c r="RMR2" s="15"/>
      <c r="RMS2" s="15"/>
      <c r="RMT2" s="15"/>
      <c r="RMU2" s="15"/>
      <c r="RMV2" s="15"/>
      <c r="RMW2" s="15"/>
      <c r="RMX2" s="15"/>
      <c r="RMY2" s="15"/>
      <c r="RMZ2" s="15"/>
      <c r="RNA2" s="15"/>
      <c r="RNB2" s="15"/>
      <c r="RNC2" s="15"/>
      <c r="RND2" s="15"/>
      <c r="RNE2" s="15"/>
      <c r="RNF2" s="15"/>
      <c r="RNG2" s="15"/>
      <c r="RNH2" s="15"/>
      <c r="RNI2" s="15"/>
      <c r="RNJ2" s="15"/>
      <c r="RNK2" s="15"/>
      <c r="RNL2" s="15"/>
      <c r="RNM2" s="15"/>
      <c r="RNN2" s="15"/>
      <c r="RNO2" s="15"/>
      <c r="RNP2" s="15"/>
      <c r="RNQ2" s="15"/>
      <c r="RNR2" s="15"/>
      <c r="RNS2" s="15"/>
      <c r="RNT2" s="15"/>
      <c r="RNU2" s="15"/>
      <c r="RNV2" s="15"/>
      <c r="RNW2" s="15"/>
      <c r="RNX2" s="15"/>
      <c r="RNY2" s="15"/>
      <c r="RNZ2" s="15"/>
      <c r="ROA2" s="15"/>
      <c r="ROB2" s="15"/>
      <c r="ROC2" s="15"/>
      <c r="ROD2" s="15"/>
      <c r="ROE2" s="15"/>
      <c r="ROF2" s="15"/>
      <c r="ROG2" s="15"/>
      <c r="ROH2" s="15"/>
      <c r="ROI2" s="15"/>
      <c r="ROJ2" s="15"/>
      <c r="ROK2" s="15"/>
      <c r="ROL2" s="15"/>
      <c r="ROM2" s="15"/>
      <c r="RON2" s="15"/>
      <c r="ROO2" s="15"/>
      <c r="ROP2" s="15"/>
      <c r="ROQ2" s="15"/>
      <c r="ROR2" s="15"/>
      <c r="ROS2" s="15"/>
      <c r="ROT2" s="15"/>
      <c r="ROU2" s="15"/>
      <c r="ROV2" s="15"/>
      <c r="ROW2" s="15"/>
      <c r="ROX2" s="15"/>
      <c r="ROY2" s="15"/>
      <c r="ROZ2" s="15"/>
      <c r="RPA2" s="15"/>
      <c r="RPB2" s="15"/>
      <c r="RPC2" s="15"/>
      <c r="RPD2" s="15"/>
      <c r="RPE2" s="15"/>
      <c r="RPF2" s="15"/>
      <c r="RPG2" s="15"/>
      <c r="RPH2" s="15"/>
      <c r="RPI2" s="15"/>
      <c r="RPJ2" s="15"/>
      <c r="RPK2" s="15"/>
      <c r="RPL2" s="15"/>
      <c r="RPM2" s="15"/>
      <c r="RPN2" s="15"/>
      <c r="RPO2" s="15"/>
      <c r="RPP2" s="15"/>
      <c r="RPQ2" s="15"/>
      <c r="RPR2" s="15"/>
      <c r="RPS2" s="15"/>
      <c r="RPT2" s="15"/>
      <c r="RPU2" s="15"/>
      <c r="RPV2" s="15"/>
      <c r="RPW2" s="15"/>
      <c r="RPX2" s="15"/>
      <c r="RPY2" s="15"/>
      <c r="RPZ2" s="15"/>
      <c r="RQA2" s="15"/>
      <c r="RQB2" s="15"/>
      <c r="RQC2" s="15"/>
      <c r="RQD2" s="15"/>
      <c r="RQE2" s="15"/>
      <c r="RQF2" s="15"/>
      <c r="RQG2" s="15"/>
      <c r="RQH2" s="15"/>
      <c r="RQI2" s="15"/>
      <c r="RQJ2" s="15"/>
      <c r="RQK2" s="15"/>
      <c r="RQL2" s="15"/>
      <c r="RQM2" s="15"/>
      <c r="RQN2" s="15"/>
      <c r="RQO2" s="15"/>
      <c r="RQP2" s="15"/>
      <c r="RQQ2" s="15"/>
      <c r="RQR2" s="15"/>
      <c r="RQS2" s="15"/>
      <c r="RQT2" s="15"/>
      <c r="RQU2" s="15"/>
      <c r="RQV2" s="15"/>
      <c r="RQW2" s="15"/>
      <c r="RQX2" s="15"/>
      <c r="RQY2" s="15"/>
      <c r="RQZ2" s="15"/>
      <c r="RRA2" s="15"/>
      <c r="RRB2" s="15"/>
      <c r="RRC2" s="15"/>
      <c r="RRD2" s="15"/>
      <c r="RRE2" s="15"/>
      <c r="RRF2" s="15"/>
      <c r="RRG2" s="15"/>
      <c r="RRH2" s="15"/>
      <c r="RRI2" s="15"/>
      <c r="RRJ2" s="15"/>
      <c r="RRK2" s="15"/>
      <c r="RRL2" s="15"/>
      <c r="RRM2" s="15"/>
      <c r="RRN2" s="15"/>
      <c r="RRO2" s="15"/>
      <c r="RRP2" s="15"/>
      <c r="RRQ2" s="15"/>
      <c r="RRR2" s="15"/>
      <c r="RRS2" s="15"/>
      <c r="RRT2" s="15"/>
      <c r="RRU2" s="15"/>
      <c r="RRV2" s="15"/>
      <c r="RRW2" s="15"/>
      <c r="RRX2" s="15"/>
      <c r="RRY2" s="15"/>
      <c r="RRZ2" s="15"/>
      <c r="RSA2" s="15"/>
      <c r="RSB2" s="15"/>
      <c r="RSC2" s="15"/>
      <c r="RSD2" s="15"/>
      <c r="RSE2" s="15"/>
      <c r="RSF2" s="15"/>
      <c r="RSG2" s="15"/>
      <c r="RSH2" s="15"/>
      <c r="RSI2" s="15"/>
      <c r="RSJ2" s="15"/>
      <c r="RSK2" s="15"/>
      <c r="RSL2" s="15"/>
      <c r="RSM2" s="15"/>
      <c r="RSN2" s="15"/>
      <c r="RSO2" s="15"/>
      <c r="RSP2" s="15"/>
      <c r="RSQ2" s="15"/>
      <c r="RSR2" s="15"/>
      <c r="RSS2" s="15"/>
      <c r="RST2" s="15"/>
      <c r="RSU2" s="15"/>
      <c r="RSV2" s="15"/>
      <c r="RSW2" s="15"/>
      <c r="RSX2" s="15"/>
      <c r="RSY2" s="15"/>
      <c r="RSZ2" s="15"/>
      <c r="RTA2" s="15"/>
      <c r="RTB2" s="15"/>
      <c r="RTC2" s="15"/>
      <c r="RTD2" s="15"/>
      <c r="RTE2" s="15"/>
      <c r="RTF2" s="15"/>
      <c r="RTG2" s="15"/>
      <c r="RTH2" s="15"/>
      <c r="RTI2" s="15"/>
      <c r="RTJ2" s="15"/>
      <c r="RTK2" s="15"/>
      <c r="RTL2" s="15"/>
      <c r="RTM2" s="15"/>
      <c r="RTN2" s="15"/>
      <c r="RTO2" s="15"/>
      <c r="RTP2" s="15"/>
      <c r="RTQ2" s="15"/>
      <c r="RTR2" s="15"/>
      <c r="RTS2" s="15"/>
      <c r="RTT2" s="15"/>
      <c r="RTU2" s="15"/>
      <c r="RTV2" s="15"/>
      <c r="RTW2" s="15"/>
      <c r="RTX2" s="15"/>
      <c r="RTY2" s="15"/>
      <c r="RTZ2" s="15"/>
      <c r="RUA2" s="15"/>
      <c r="RUB2" s="15"/>
      <c r="RUC2" s="15"/>
      <c r="RUD2" s="15"/>
      <c r="RUE2" s="15"/>
      <c r="RUF2" s="15"/>
      <c r="RUG2" s="15"/>
      <c r="RUH2" s="15"/>
      <c r="RUI2" s="15"/>
      <c r="RUJ2" s="15"/>
      <c r="RUK2" s="15"/>
      <c r="RUL2" s="15"/>
      <c r="RUM2" s="15"/>
      <c r="RUN2" s="15"/>
      <c r="RUO2" s="15"/>
      <c r="RUP2" s="15"/>
      <c r="RUQ2" s="15"/>
      <c r="RUR2" s="15"/>
      <c r="RUS2" s="15"/>
      <c r="RUT2" s="15"/>
      <c r="RUU2" s="15"/>
      <c r="RUV2" s="15"/>
      <c r="RUW2" s="15"/>
      <c r="RUX2" s="15"/>
      <c r="RUY2" s="15"/>
      <c r="RUZ2" s="15"/>
      <c r="RVA2" s="15"/>
      <c r="RVB2" s="15"/>
      <c r="RVC2" s="15"/>
      <c r="RVD2" s="15"/>
      <c r="RVE2" s="15"/>
      <c r="RVF2" s="15"/>
      <c r="RVG2" s="15"/>
      <c r="RVH2" s="15"/>
      <c r="RVI2" s="15"/>
      <c r="RVJ2" s="15"/>
      <c r="RVK2" s="15"/>
      <c r="RVL2" s="15"/>
      <c r="RVM2" s="15"/>
      <c r="RVN2" s="15"/>
      <c r="RVO2" s="15"/>
      <c r="RVP2" s="15"/>
      <c r="RVQ2" s="15"/>
      <c r="RVR2" s="15"/>
      <c r="RVS2" s="15"/>
      <c r="RVT2" s="15"/>
      <c r="RVU2" s="15"/>
      <c r="RVV2" s="15"/>
      <c r="RVW2" s="15"/>
      <c r="RVX2" s="15"/>
      <c r="RVY2" s="15"/>
      <c r="RVZ2" s="15"/>
      <c r="RWA2" s="15"/>
      <c r="RWB2" s="15"/>
      <c r="RWC2" s="15"/>
      <c r="RWD2" s="15"/>
      <c r="RWE2" s="15"/>
      <c r="RWF2" s="15"/>
      <c r="RWG2" s="15"/>
      <c r="RWH2" s="15"/>
      <c r="RWI2" s="15"/>
      <c r="RWJ2" s="15"/>
      <c r="RWK2" s="15"/>
      <c r="RWL2" s="15"/>
      <c r="RWM2" s="15"/>
      <c r="RWN2" s="15"/>
      <c r="RWO2" s="15"/>
      <c r="RWP2" s="15"/>
      <c r="RWQ2" s="15"/>
      <c r="RWR2" s="15"/>
      <c r="RWS2" s="15"/>
      <c r="RWT2" s="15"/>
      <c r="RWU2" s="15"/>
      <c r="RWV2" s="15"/>
      <c r="RWW2" s="15"/>
      <c r="RWX2" s="15"/>
      <c r="RWY2" s="15"/>
      <c r="RWZ2" s="15"/>
      <c r="RXA2" s="15"/>
      <c r="RXB2" s="15"/>
      <c r="RXC2" s="15"/>
      <c r="RXD2" s="15"/>
      <c r="RXE2" s="15"/>
      <c r="RXF2" s="15"/>
      <c r="RXG2" s="15"/>
      <c r="RXH2" s="15"/>
      <c r="RXI2" s="15"/>
      <c r="RXJ2" s="15"/>
      <c r="RXK2" s="15"/>
      <c r="RXL2" s="15"/>
      <c r="RXM2" s="15"/>
      <c r="RXN2" s="15"/>
      <c r="RXO2" s="15"/>
      <c r="RXP2" s="15"/>
      <c r="RXQ2" s="15"/>
      <c r="RXR2" s="15"/>
      <c r="RXS2" s="15"/>
      <c r="RXT2" s="15"/>
      <c r="RXU2" s="15"/>
      <c r="RXV2" s="15"/>
      <c r="RXW2" s="15"/>
      <c r="RXX2" s="15"/>
      <c r="RXY2" s="15"/>
      <c r="RXZ2" s="15"/>
      <c r="RYA2" s="15"/>
      <c r="RYB2" s="15"/>
      <c r="RYC2" s="15"/>
      <c r="RYD2" s="15"/>
      <c r="RYE2" s="15"/>
      <c r="RYF2" s="15"/>
      <c r="RYG2" s="15"/>
      <c r="RYH2" s="15"/>
      <c r="RYI2" s="15"/>
      <c r="RYJ2" s="15"/>
      <c r="RYK2" s="15"/>
      <c r="RYL2" s="15"/>
      <c r="RYM2" s="15"/>
      <c r="RYN2" s="15"/>
      <c r="RYO2" s="15"/>
      <c r="RYP2" s="15"/>
      <c r="RYQ2" s="15"/>
      <c r="RYR2" s="15"/>
      <c r="RYS2" s="15"/>
      <c r="RYT2" s="15"/>
      <c r="RYU2" s="15"/>
      <c r="RYV2" s="15"/>
      <c r="RYW2" s="15"/>
      <c r="RYX2" s="15"/>
      <c r="RYY2" s="15"/>
      <c r="RYZ2" s="15"/>
      <c r="RZA2" s="15"/>
      <c r="RZB2" s="15"/>
      <c r="RZC2" s="15"/>
      <c r="RZD2" s="15"/>
      <c r="RZE2" s="15"/>
      <c r="RZF2" s="15"/>
      <c r="RZG2" s="15"/>
      <c r="RZH2" s="15"/>
      <c r="RZI2" s="15"/>
      <c r="RZJ2" s="15"/>
      <c r="RZK2" s="15"/>
      <c r="RZL2" s="15"/>
      <c r="RZM2" s="15"/>
      <c r="RZN2" s="15"/>
      <c r="RZO2" s="15"/>
      <c r="RZP2" s="15"/>
      <c r="RZQ2" s="15"/>
      <c r="RZR2" s="15"/>
      <c r="RZS2" s="15"/>
      <c r="RZT2" s="15"/>
      <c r="RZU2" s="15"/>
      <c r="RZV2" s="15"/>
      <c r="RZW2" s="15"/>
      <c r="RZX2" s="15"/>
      <c r="RZY2" s="15"/>
      <c r="RZZ2" s="15"/>
      <c r="SAA2" s="15"/>
      <c r="SAB2" s="15"/>
      <c r="SAC2" s="15"/>
      <c r="SAD2" s="15"/>
      <c r="SAE2" s="15"/>
      <c r="SAF2" s="15"/>
      <c r="SAG2" s="15"/>
      <c r="SAH2" s="15"/>
      <c r="SAI2" s="15"/>
      <c r="SAJ2" s="15"/>
      <c r="SAK2" s="15"/>
      <c r="SAL2" s="15"/>
      <c r="SAM2" s="15"/>
      <c r="SAN2" s="15"/>
      <c r="SAO2" s="15"/>
      <c r="SAP2" s="15"/>
      <c r="SAQ2" s="15"/>
      <c r="SAR2" s="15"/>
      <c r="SAS2" s="15"/>
      <c r="SAT2" s="15"/>
      <c r="SAU2" s="15"/>
      <c r="SAV2" s="15"/>
      <c r="SAW2" s="15"/>
      <c r="SAX2" s="15"/>
      <c r="SAY2" s="15"/>
      <c r="SAZ2" s="15"/>
      <c r="SBA2" s="15"/>
      <c r="SBB2" s="15"/>
      <c r="SBC2" s="15"/>
      <c r="SBD2" s="15"/>
      <c r="SBE2" s="15"/>
      <c r="SBF2" s="15"/>
      <c r="SBG2" s="15"/>
      <c r="SBH2" s="15"/>
      <c r="SBI2" s="15"/>
      <c r="SBJ2" s="15"/>
      <c r="SBK2" s="15"/>
      <c r="SBL2" s="15"/>
      <c r="SBM2" s="15"/>
      <c r="SBN2" s="15"/>
      <c r="SBO2" s="15"/>
      <c r="SBP2" s="15"/>
      <c r="SBQ2" s="15"/>
      <c r="SBR2" s="15"/>
      <c r="SBS2" s="15"/>
      <c r="SBT2" s="15"/>
      <c r="SBU2" s="15"/>
      <c r="SBV2" s="15"/>
      <c r="SBW2" s="15"/>
      <c r="SBX2" s="15"/>
      <c r="SBY2" s="15"/>
      <c r="SBZ2" s="15"/>
      <c r="SCA2" s="15"/>
      <c r="SCB2" s="15"/>
      <c r="SCC2" s="15"/>
      <c r="SCD2" s="15"/>
      <c r="SCE2" s="15"/>
      <c r="SCF2" s="15"/>
      <c r="SCG2" s="15"/>
      <c r="SCH2" s="15"/>
      <c r="SCI2" s="15"/>
      <c r="SCJ2" s="15"/>
      <c r="SCK2" s="15"/>
      <c r="SCL2" s="15"/>
      <c r="SCM2" s="15"/>
      <c r="SCN2" s="15"/>
      <c r="SCO2" s="15"/>
      <c r="SCP2" s="15"/>
      <c r="SCQ2" s="15"/>
      <c r="SCR2" s="15"/>
      <c r="SCS2" s="15"/>
      <c r="SCT2" s="15"/>
      <c r="SCU2" s="15"/>
      <c r="SCV2" s="15"/>
      <c r="SCW2" s="15"/>
      <c r="SCX2" s="15"/>
      <c r="SCY2" s="15"/>
      <c r="SCZ2" s="15"/>
      <c r="SDA2" s="15"/>
      <c r="SDB2" s="15"/>
      <c r="SDC2" s="15"/>
      <c r="SDD2" s="15"/>
      <c r="SDE2" s="15"/>
      <c r="SDF2" s="15"/>
      <c r="SDG2" s="15"/>
      <c r="SDH2" s="15"/>
      <c r="SDI2" s="15"/>
      <c r="SDJ2" s="15"/>
      <c r="SDK2" s="15"/>
      <c r="SDL2" s="15"/>
      <c r="SDM2" s="15"/>
      <c r="SDN2" s="15"/>
      <c r="SDO2" s="15"/>
      <c r="SDP2" s="15"/>
      <c r="SDQ2" s="15"/>
      <c r="SDR2" s="15"/>
      <c r="SDS2" s="15"/>
      <c r="SDT2" s="15"/>
      <c r="SDU2" s="15"/>
      <c r="SDV2" s="15"/>
      <c r="SDW2" s="15"/>
      <c r="SDX2" s="15"/>
      <c r="SDY2" s="15"/>
      <c r="SDZ2" s="15"/>
      <c r="SEA2" s="15"/>
      <c r="SEB2" s="15"/>
      <c r="SEC2" s="15"/>
      <c r="SED2" s="15"/>
      <c r="SEE2" s="15"/>
      <c r="SEF2" s="15"/>
      <c r="SEG2" s="15"/>
      <c r="SEH2" s="15"/>
      <c r="SEI2" s="15"/>
      <c r="SEJ2" s="15"/>
      <c r="SEK2" s="15"/>
      <c r="SEL2" s="15"/>
      <c r="SEM2" s="15"/>
      <c r="SEN2" s="15"/>
      <c r="SEO2" s="15"/>
      <c r="SEP2" s="15"/>
      <c r="SEQ2" s="15"/>
      <c r="SER2" s="15"/>
      <c r="SES2" s="15"/>
      <c r="SET2" s="15"/>
      <c r="SEU2" s="15"/>
      <c r="SEV2" s="15"/>
      <c r="SEW2" s="15"/>
      <c r="SEX2" s="15"/>
      <c r="SEY2" s="15"/>
      <c r="SEZ2" s="15"/>
      <c r="SFA2" s="15"/>
      <c r="SFB2" s="15"/>
      <c r="SFC2" s="15"/>
      <c r="SFD2" s="15"/>
      <c r="SFE2" s="15"/>
      <c r="SFF2" s="15"/>
      <c r="SFG2" s="15"/>
      <c r="SFH2" s="15"/>
      <c r="SFI2" s="15"/>
      <c r="SFJ2" s="15"/>
      <c r="SFK2" s="15"/>
      <c r="SFL2" s="15"/>
      <c r="SFM2" s="15"/>
      <c r="SFN2" s="15"/>
      <c r="SFO2" s="15"/>
      <c r="SFP2" s="15"/>
      <c r="SFQ2" s="15"/>
      <c r="SFR2" s="15"/>
      <c r="SFS2" s="15"/>
      <c r="SFT2" s="15"/>
      <c r="SFU2" s="15"/>
      <c r="SFV2" s="15"/>
      <c r="SFW2" s="15"/>
      <c r="SFX2" s="15"/>
      <c r="SFY2" s="15"/>
      <c r="SFZ2" s="15"/>
      <c r="SGA2" s="15"/>
      <c r="SGB2" s="15"/>
      <c r="SGC2" s="15"/>
      <c r="SGD2" s="15"/>
      <c r="SGE2" s="15"/>
      <c r="SGF2" s="15"/>
      <c r="SGG2" s="15"/>
      <c r="SGH2" s="15"/>
      <c r="SGI2" s="15"/>
      <c r="SGJ2" s="15"/>
      <c r="SGK2" s="15"/>
      <c r="SGL2" s="15"/>
      <c r="SGM2" s="15"/>
      <c r="SGN2" s="15"/>
      <c r="SGO2" s="15"/>
      <c r="SGP2" s="15"/>
      <c r="SGQ2" s="15"/>
      <c r="SGR2" s="15"/>
      <c r="SGS2" s="15"/>
      <c r="SGT2" s="15"/>
      <c r="SGU2" s="15"/>
      <c r="SGV2" s="15"/>
      <c r="SGW2" s="15"/>
      <c r="SGX2" s="15"/>
      <c r="SGY2" s="15"/>
      <c r="SGZ2" s="15"/>
      <c r="SHA2" s="15"/>
      <c r="SHB2" s="15"/>
      <c r="SHC2" s="15"/>
      <c r="SHD2" s="15"/>
      <c r="SHE2" s="15"/>
      <c r="SHF2" s="15"/>
      <c r="SHG2" s="15"/>
      <c r="SHH2" s="15"/>
      <c r="SHI2" s="15"/>
      <c r="SHJ2" s="15"/>
      <c r="SHK2" s="15"/>
      <c r="SHL2" s="15"/>
      <c r="SHM2" s="15"/>
      <c r="SHN2" s="15"/>
      <c r="SHO2" s="15"/>
      <c r="SHP2" s="15"/>
      <c r="SHQ2" s="15"/>
      <c r="SHR2" s="15"/>
      <c r="SHS2" s="15"/>
      <c r="SHT2" s="15"/>
      <c r="SHU2" s="15"/>
      <c r="SHV2" s="15"/>
      <c r="SHW2" s="15"/>
      <c r="SHX2" s="15"/>
      <c r="SHY2" s="15"/>
      <c r="SHZ2" s="15"/>
      <c r="SIA2" s="15"/>
      <c r="SIB2" s="15"/>
      <c r="SIC2" s="15"/>
      <c r="SID2" s="15"/>
      <c r="SIE2" s="15"/>
      <c r="SIF2" s="15"/>
      <c r="SIG2" s="15"/>
      <c r="SIH2" s="15"/>
      <c r="SII2" s="15"/>
      <c r="SIJ2" s="15"/>
      <c r="SIK2" s="15"/>
      <c r="SIL2" s="15"/>
      <c r="SIM2" s="15"/>
      <c r="SIN2" s="15"/>
      <c r="SIO2" s="15"/>
      <c r="SIP2" s="15"/>
      <c r="SIQ2" s="15"/>
      <c r="SIR2" s="15"/>
      <c r="SIS2" s="15"/>
      <c r="SIT2" s="15"/>
      <c r="SIU2" s="15"/>
      <c r="SIV2" s="15"/>
      <c r="SIW2" s="15"/>
      <c r="SIX2" s="15"/>
      <c r="SIY2" s="15"/>
      <c r="SIZ2" s="15"/>
      <c r="SJA2" s="15"/>
      <c r="SJB2" s="15"/>
      <c r="SJC2" s="15"/>
      <c r="SJD2" s="15"/>
      <c r="SJE2" s="15"/>
      <c r="SJF2" s="15"/>
      <c r="SJG2" s="15"/>
      <c r="SJH2" s="15"/>
      <c r="SJI2" s="15"/>
      <c r="SJJ2" s="15"/>
      <c r="SJK2" s="15"/>
      <c r="SJL2" s="15"/>
      <c r="SJM2" s="15"/>
      <c r="SJN2" s="15"/>
      <c r="SJO2" s="15"/>
      <c r="SJP2" s="15"/>
      <c r="SJQ2" s="15"/>
      <c r="SJR2" s="15"/>
      <c r="SJS2" s="15"/>
      <c r="SJT2" s="15"/>
      <c r="SJU2" s="15"/>
      <c r="SJV2" s="15"/>
      <c r="SJW2" s="15"/>
      <c r="SJX2" s="15"/>
      <c r="SJY2" s="15"/>
      <c r="SJZ2" s="15"/>
      <c r="SKA2" s="15"/>
      <c r="SKB2" s="15"/>
      <c r="SKC2" s="15"/>
      <c r="SKD2" s="15"/>
      <c r="SKE2" s="15"/>
      <c r="SKF2" s="15"/>
      <c r="SKG2" s="15"/>
      <c r="SKH2" s="15"/>
      <c r="SKI2" s="15"/>
      <c r="SKJ2" s="15"/>
      <c r="SKK2" s="15"/>
      <c r="SKL2" s="15"/>
      <c r="SKM2" s="15"/>
      <c r="SKN2" s="15"/>
      <c r="SKO2" s="15"/>
      <c r="SKP2" s="15"/>
      <c r="SKQ2" s="15"/>
      <c r="SKR2" s="15"/>
      <c r="SKS2" s="15"/>
      <c r="SKT2" s="15"/>
      <c r="SKU2" s="15"/>
      <c r="SKV2" s="15"/>
      <c r="SKW2" s="15"/>
      <c r="SKX2" s="15"/>
      <c r="SKY2" s="15"/>
      <c r="SKZ2" s="15"/>
      <c r="SLA2" s="15"/>
      <c r="SLB2" s="15"/>
      <c r="SLC2" s="15"/>
      <c r="SLD2" s="15"/>
      <c r="SLE2" s="15"/>
      <c r="SLF2" s="15"/>
      <c r="SLG2" s="15"/>
      <c r="SLH2" s="15"/>
      <c r="SLI2" s="15"/>
      <c r="SLJ2" s="15"/>
      <c r="SLK2" s="15"/>
      <c r="SLL2" s="15"/>
      <c r="SLM2" s="15"/>
      <c r="SLN2" s="15"/>
      <c r="SLO2" s="15"/>
      <c r="SLP2" s="15"/>
      <c r="SLQ2" s="15"/>
      <c r="SLR2" s="15"/>
      <c r="SLS2" s="15"/>
      <c r="SLT2" s="15"/>
      <c r="SLU2" s="15"/>
      <c r="SLV2" s="15"/>
      <c r="SLW2" s="15"/>
      <c r="SLX2" s="15"/>
      <c r="SLY2" s="15"/>
      <c r="SLZ2" s="15"/>
      <c r="SMA2" s="15"/>
      <c r="SMB2" s="15"/>
      <c r="SMC2" s="15"/>
      <c r="SMD2" s="15"/>
      <c r="SME2" s="15"/>
      <c r="SMF2" s="15"/>
      <c r="SMG2" s="15"/>
      <c r="SMH2" s="15"/>
      <c r="SMI2" s="15"/>
      <c r="SMJ2" s="15"/>
      <c r="SMK2" s="15"/>
      <c r="SML2" s="15"/>
      <c r="SMM2" s="15"/>
      <c r="SMN2" s="15"/>
      <c r="SMO2" s="15"/>
      <c r="SMP2" s="15"/>
      <c r="SMQ2" s="15"/>
      <c r="SMR2" s="15"/>
      <c r="SMS2" s="15"/>
      <c r="SMT2" s="15"/>
      <c r="SMU2" s="15"/>
      <c r="SMV2" s="15"/>
      <c r="SMW2" s="15"/>
      <c r="SMX2" s="15"/>
      <c r="SMY2" s="15"/>
      <c r="SMZ2" s="15"/>
      <c r="SNA2" s="15"/>
      <c r="SNB2" s="15"/>
      <c r="SNC2" s="15"/>
      <c r="SND2" s="15"/>
      <c r="SNE2" s="15"/>
      <c r="SNF2" s="15"/>
      <c r="SNG2" s="15"/>
      <c r="SNH2" s="15"/>
      <c r="SNI2" s="15"/>
      <c r="SNJ2" s="15"/>
      <c r="SNK2" s="15"/>
      <c r="SNL2" s="15"/>
      <c r="SNM2" s="15"/>
      <c r="SNN2" s="15"/>
      <c r="SNO2" s="15"/>
      <c r="SNP2" s="15"/>
      <c r="SNQ2" s="15"/>
      <c r="SNR2" s="15"/>
      <c r="SNS2" s="15"/>
      <c r="SNT2" s="15"/>
      <c r="SNU2" s="15"/>
      <c r="SNV2" s="15"/>
      <c r="SNW2" s="15"/>
      <c r="SNX2" s="15"/>
      <c r="SNY2" s="15"/>
      <c r="SNZ2" s="15"/>
      <c r="SOA2" s="15"/>
      <c r="SOB2" s="15"/>
      <c r="SOC2" s="15"/>
      <c r="SOD2" s="15"/>
      <c r="SOE2" s="15"/>
      <c r="SOF2" s="15"/>
      <c r="SOG2" s="15"/>
      <c r="SOH2" s="15"/>
      <c r="SOI2" s="15"/>
      <c r="SOJ2" s="15"/>
      <c r="SOK2" s="15"/>
      <c r="SOL2" s="15"/>
      <c r="SOM2" s="15"/>
      <c r="SON2" s="15"/>
      <c r="SOO2" s="15"/>
      <c r="SOP2" s="15"/>
      <c r="SOQ2" s="15"/>
      <c r="SOR2" s="15"/>
      <c r="SOS2" s="15"/>
      <c r="SOT2" s="15"/>
      <c r="SOU2" s="15"/>
      <c r="SOV2" s="15"/>
      <c r="SOW2" s="15"/>
      <c r="SOX2" s="15"/>
      <c r="SOY2" s="15"/>
      <c r="SOZ2" s="15"/>
      <c r="SPA2" s="15"/>
      <c r="SPB2" s="15"/>
      <c r="SPC2" s="15"/>
      <c r="SPD2" s="15"/>
      <c r="SPE2" s="15"/>
      <c r="SPF2" s="15"/>
      <c r="SPG2" s="15"/>
      <c r="SPH2" s="15"/>
      <c r="SPI2" s="15"/>
      <c r="SPJ2" s="15"/>
      <c r="SPK2" s="15"/>
      <c r="SPL2" s="15"/>
      <c r="SPM2" s="15"/>
      <c r="SPN2" s="15"/>
      <c r="SPO2" s="15"/>
      <c r="SPP2" s="15"/>
      <c r="SPQ2" s="15"/>
      <c r="SPR2" s="15"/>
      <c r="SPS2" s="15"/>
      <c r="SPT2" s="15"/>
      <c r="SPU2" s="15"/>
      <c r="SPV2" s="15"/>
      <c r="SPW2" s="15"/>
      <c r="SPX2" s="15"/>
      <c r="SPY2" s="15"/>
      <c r="SPZ2" s="15"/>
      <c r="SQA2" s="15"/>
      <c r="SQB2" s="15"/>
      <c r="SQC2" s="15"/>
      <c r="SQD2" s="15"/>
      <c r="SQE2" s="15"/>
      <c r="SQF2" s="15"/>
      <c r="SQG2" s="15"/>
      <c r="SQH2" s="15"/>
      <c r="SQI2" s="15"/>
      <c r="SQJ2" s="15"/>
      <c r="SQK2" s="15"/>
      <c r="SQL2" s="15"/>
      <c r="SQM2" s="15"/>
      <c r="SQN2" s="15"/>
      <c r="SQO2" s="15"/>
      <c r="SQP2" s="15"/>
      <c r="SQQ2" s="15"/>
      <c r="SQR2" s="15"/>
      <c r="SQS2" s="15"/>
      <c r="SQT2" s="15"/>
      <c r="SQU2" s="15"/>
      <c r="SQV2" s="15"/>
      <c r="SQW2" s="15"/>
      <c r="SQX2" s="15"/>
      <c r="SQY2" s="15"/>
      <c r="SQZ2" s="15"/>
      <c r="SRA2" s="15"/>
      <c r="SRB2" s="15"/>
      <c r="SRC2" s="15"/>
      <c r="SRD2" s="15"/>
      <c r="SRE2" s="15"/>
      <c r="SRF2" s="15"/>
      <c r="SRG2" s="15"/>
      <c r="SRH2" s="15"/>
      <c r="SRI2" s="15"/>
      <c r="SRJ2" s="15"/>
      <c r="SRK2" s="15"/>
      <c r="SRL2" s="15"/>
      <c r="SRM2" s="15"/>
      <c r="SRN2" s="15"/>
      <c r="SRO2" s="15"/>
      <c r="SRP2" s="15"/>
      <c r="SRQ2" s="15"/>
      <c r="SRR2" s="15"/>
      <c r="SRS2" s="15"/>
      <c r="SRT2" s="15"/>
      <c r="SRU2" s="15"/>
      <c r="SRV2" s="15"/>
      <c r="SRW2" s="15"/>
      <c r="SRX2" s="15"/>
      <c r="SRY2" s="15"/>
      <c r="SRZ2" s="15"/>
      <c r="SSA2" s="15"/>
      <c r="SSB2" s="15"/>
      <c r="SSC2" s="15"/>
      <c r="SSD2" s="15"/>
      <c r="SSE2" s="15"/>
      <c r="SSF2" s="15"/>
      <c r="SSG2" s="15"/>
      <c r="SSH2" s="15"/>
      <c r="SSI2" s="15"/>
      <c r="SSJ2" s="15"/>
      <c r="SSK2" s="15"/>
      <c r="SSL2" s="15"/>
      <c r="SSM2" s="15"/>
      <c r="SSN2" s="15"/>
      <c r="SSO2" s="15"/>
      <c r="SSP2" s="15"/>
      <c r="SSQ2" s="15"/>
      <c r="SSR2" s="15"/>
      <c r="SSS2" s="15"/>
      <c r="SST2" s="15"/>
      <c r="SSU2" s="15"/>
      <c r="SSV2" s="15"/>
      <c r="SSW2" s="15"/>
      <c r="SSX2" s="15"/>
      <c r="SSY2" s="15"/>
      <c r="SSZ2" s="15"/>
      <c r="STA2" s="15"/>
      <c r="STB2" s="15"/>
      <c r="STC2" s="15"/>
      <c r="STD2" s="15"/>
      <c r="STE2" s="15"/>
      <c r="STF2" s="15"/>
      <c r="STG2" s="15"/>
      <c r="STH2" s="15"/>
      <c r="STI2" s="15"/>
      <c r="STJ2" s="15"/>
      <c r="STK2" s="15"/>
      <c r="STL2" s="15"/>
      <c r="STM2" s="15"/>
      <c r="STN2" s="15"/>
      <c r="STO2" s="15"/>
      <c r="STP2" s="15"/>
      <c r="STQ2" s="15"/>
      <c r="STR2" s="15"/>
      <c r="STS2" s="15"/>
      <c r="STT2" s="15"/>
      <c r="STU2" s="15"/>
      <c r="STV2" s="15"/>
      <c r="STW2" s="15"/>
      <c r="STX2" s="15"/>
      <c r="STY2" s="15"/>
      <c r="STZ2" s="15"/>
      <c r="SUA2" s="15"/>
      <c r="SUB2" s="15"/>
      <c r="SUC2" s="15"/>
      <c r="SUD2" s="15"/>
      <c r="SUE2" s="15"/>
      <c r="SUF2" s="15"/>
      <c r="SUG2" s="15"/>
      <c r="SUH2" s="15"/>
      <c r="SUI2" s="15"/>
      <c r="SUJ2" s="15"/>
      <c r="SUK2" s="15"/>
      <c r="SUL2" s="15"/>
      <c r="SUM2" s="15"/>
      <c r="SUN2" s="15"/>
      <c r="SUO2" s="15"/>
      <c r="SUP2" s="15"/>
      <c r="SUQ2" s="15"/>
      <c r="SUR2" s="15"/>
      <c r="SUS2" s="15"/>
      <c r="SUT2" s="15"/>
      <c r="SUU2" s="15"/>
      <c r="SUV2" s="15"/>
      <c r="SUW2" s="15"/>
      <c r="SUX2" s="15"/>
      <c r="SUY2" s="15"/>
      <c r="SUZ2" s="15"/>
      <c r="SVA2" s="15"/>
      <c r="SVB2" s="15"/>
      <c r="SVC2" s="15"/>
      <c r="SVD2" s="15"/>
      <c r="SVE2" s="15"/>
      <c r="SVF2" s="15"/>
      <c r="SVG2" s="15"/>
      <c r="SVH2" s="15"/>
      <c r="SVI2" s="15"/>
      <c r="SVJ2" s="15"/>
      <c r="SVK2" s="15"/>
      <c r="SVL2" s="15"/>
      <c r="SVM2" s="15"/>
      <c r="SVN2" s="15"/>
      <c r="SVO2" s="15"/>
      <c r="SVP2" s="15"/>
      <c r="SVQ2" s="15"/>
      <c r="SVR2" s="15"/>
      <c r="SVS2" s="15"/>
      <c r="SVT2" s="15"/>
      <c r="SVU2" s="15"/>
      <c r="SVV2" s="15"/>
      <c r="SVW2" s="15"/>
      <c r="SVX2" s="15"/>
      <c r="SVY2" s="15"/>
      <c r="SVZ2" s="15"/>
      <c r="SWA2" s="15"/>
      <c r="SWB2" s="15"/>
      <c r="SWC2" s="15"/>
      <c r="SWD2" s="15"/>
      <c r="SWE2" s="15"/>
      <c r="SWF2" s="15"/>
      <c r="SWG2" s="15"/>
      <c r="SWH2" s="15"/>
      <c r="SWI2" s="15"/>
      <c r="SWJ2" s="15"/>
      <c r="SWK2" s="15"/>
      <c r="SWL2" s="15"/>
      <c r="SWM2" s="15"/>
      <c r="SWN2" s="15"/>
      <c r="SWO2" s="15"/>
      <c r="SWP2" s="15"/>
      <c r="SWQ2" s="15"/>
      <c r="SWR2" s="15"/>
      <c r="SWS2" s="15"/>
      <c r="SWT2" s="15"/>
      <c r="SWU2" s="15"/>
      <c r="SWV2" s="15"/>
      <c r="SWW2" s="15"/>
      <c r="SWX2" s="15"/>
      <c r="SWY2" s="15"/>
      <c r="SWZ2" s="15"/>
      <c r="SXA2" s="15"/>
      <c r="SXB2" s="15"/>
      <c r="SXC2" s="15"/>
      <c r="SXD2" s="15"/>
      <c r="SXE2" s="15"/>
      <c r="SXF2" s="15"/>
      <c r="SXG2" s="15"/>
      <c r="SXH2" s="15"/>
      <c r="SXI2" s="15"/>
      <c r="SXJ2" s="15"/>
      <c r="SXK2" s="15"/>
      <c r="SXL2" s="15"/>
      <c r="SXM2" s="15"/>
      <c r="SXN2" s="15"/>
      <c r="SXO2" s="15"/>
      <c r="SXP2" s="15"/>
      <c r="SXQ2" s="15"/>
      <c r="SXR2" s="15"/>
      <c r="SXS2" s="15"/>
      <c r="SXT2" s="15"/>
      <c r="SXU2" s="15"/>
      <c r="SXV2" s="15"/>
      <c r="SXW2" s="15"/>
      <c r="SXX2" s="15"/>
      <c r="SXY2" s="15"/>
      <c r="SXZ2" s="15"/>
      <c r="SYA2" s="15"/>
      <c r="SYB2" s="15"/>
      <c r="SYC2" s="15"/>
      <c r="SYD2" s="15"/>
      <c r="SYE2" s="15"/>
      <c r="SYF2" s="15"/>
      <c r="SYG2" s="15"/>
      <c r="SYH2" s="15"/>
      <c r="SYI2" s="15"/>
      <c r="SYJ2" s="15"/>
      <c r="SYK2" s="15"/>
      <c r="SYL2" s="15"/>
      <c r="SYM2" s="15"/>
      <c r="SYN2" s="15"/>
      <c r="SYO2" s="15"/>
      <c r="SYP2" s="15"/>
      <c r="SYQ2" s="15"/>
      <c r="SYR2" s="15"/>
      <c r="SYS2" s="15"/>
      <c r="SYT2" s="15"/>
      <c r="SYU2" s="15"/>
      <c r="SYV2" s="15"/>
      <c r="SYW2" s="15"/>
      <c r="SYX2" s="15"/>
      <c r="SYY2" s="15"/>
      <c r="SYZ2" s="15"/>
      <c r="SZA2" s="15"/>
      <c r="SZB2" s="15"/>
      <c r="SZC2" s="15"/>
      <c r="SZD2" s="15"/>
      <c r="SZE2" s="15"/>
      <c r="SZF2" s="15"/>
      <c r="SZG2" s="15"/>
      <c r="SZH2" s="15"/>
      <c r="SZI2" s="15"/>
      <c r="SZJ2" s="15"/>
      <c r="SZK2" s="15"/>
      <c r="SZL2" s="15"/>
      <c r="SZM2" s="15"/>
      <c r="SZN2" s="15"/>
      <c r="SZO2" s="15"/>
      <c r="SZP2" s="15"/>
      <c r="SZQ2" s="15"/>
      <c r="SZR2" s="15"/>
      <c r="SZS2" s="15"/>
      <c r="SZT2" s="15"/>
      <c r="SZU2" s="15"/>
      <c r="SZV2" s="15"/>
      <c r="SZW2" s="15"/>
      <c r="SZX2" s="15"/>
      <c r="SZY2" s="15"/>
      <c r="SZZ2" s="15"/>
      <c r="TAA2" s="15"/>
      <c r="TAB2" s="15"/>
      <c r="TAC2" s="15"/>
      <c r="TAD2" s="15"/>
      <c r="TAE2" s="15"/>
      <c r="TAF2" s="15"/>
      <c r="TAG2" s="15"/>
      <c r="TAH2" s="15"/>
      <c r="TAI2" s="15"/>
      <c r="TAJ2" s="15"/>
      <c r="TAK2" s="15"/>
      <c r="TAL2" s="15"/>
      <c r="TAM2" s="15"/>
      <c r="TAN2" s="15"/>
      <c r="TAO2" s="15"/>
      <c r="TAP2" s="15"/>
      <c r="TAQ2" s="15"/>
      <c r="TAR2" s="15"/>
      <c r="TAS2" s="15"/>
      <c r="TAT2" s="15"/>
      <c r="TAU2" s="15"/>
      <c r="TAV2" s="15"/>
      <c r="TAW2" s="15"/>
      <c r="TAX2" s="15"/>
      <c r="TAY2" s="15"/>
      <c r="TAZ2" s="15"/>
      <c r="TBA2" s="15"/>
      <c r="TBB2" s="15"/>
      <c r="TBC2" s="15"/>
      <c r="TBD2" s="15"/>
      <c r="TBE2" s="15"/>
      <c r="TBF2" s="15"/>
      <c r="TBG2" s="15"/>
      <c r="TBH2" s="15"/>
      <c r="TBI2" s="15"/>
      <c r="TBJ2" s="15"/>
      <c r="TBK2" s="15"/>
      <c r="TBL2" s="15"/>
      <c r="TBM2" s="15"/>
      <c r="TBN2" s="15"/>
      <c r="TBO2" s="15"/>
      <c r="TBP2" s="15"/>
      <c r="TBQ2" s="15"/>
      <c r="TBR2" s="15"/>
      <c r="TBS2" s="15"/>
      <c r="TBT2" s="15"/>
      <c r="TBU2" s="15"/>
      <c r="TBV2" s="15"/>
      <c r="TBW2" s="15"/>
      <c r="TBX2" s="15"/>
      <c r="TBY2" s="15"/>
      <c r="TBZ2" s="15"/>
      <c r="TCA2" s="15"/>
      <c r="TCB2" s="15"/>
      <c r="TCC2" s="15"/>
      <c r="TCD2" s="15"/>
      <c r="TCE2" s="15"/>
      <c r="TCF2" s="15"/>
      <c r="TCG2" s="15"/>
      <c r="TCH2" s="15"/>
      <c r="TCI2" s="15"/>
      <c r="TCJ2" s="15"/>
      <c r="TCK2" s="15"/>
      <c r="TCL2" s="15"/>
      <c r="TCM2" s="15"/>
      <c r="TCN2" s="15"/>
      <c r="TCO2" s="15"/>
      <c r="TCP2" s="15"/>
      <c r="TCQ2" s="15"/>
      <c r="TCR2" s="15"/>
      <c r="TCS2" s="15"/>
      <c r="TCT2" s="15"/>
      <c r="TCU2" s="15"/>
      <c r="TCV2" s="15"/>
      <c r="TCW2" s="15"/>
      <c r="TCX2" s="15"/>
      <c r="TCY2" s="15"/>
      <c r="TCZ2" s="15"/>
      <c r="TDA2" s="15"/>
      <c r="TDB2" s="15"/>
      <c r="TDC2" s="15"/>
      <c r="TDD2" s="15"/>
      <c r="TDE2" s="15"/>
      <c r="TDF2" s="15"/>
      <c r="TDG2" s="15"/>
      <c r="TDH2" s="15"/>
      <c r="TDI2" s="15"/>
      <c r="TDJ2" s="15"/>
      <c r="TDK2" s="15"/>
      <c r="TDL2" s="15"/>
      <c r="TDM2" s="15"/>
      <c r="TDN2" s="15"/>
      <c r="TDO2" s="15"/>
      <c r="TDP2" s="15"/>
      <c r="TDQ2" s="15"/>
      <c r="TDR2" s="15"/>
      <c r="TDS2" s="15"/>
      <c r="TDT2" s="15"/>
      <c r="TDU2" s="15"/>
      <c r="TDV2" s="15"/>
      <c r="TDW2" s="15"/>
      <c r="TDX2" s="15"/>
      <c r="TDY2" s="15"/>
      <c r="TDZ2" s="15"/>
      <c r="TEA2" s="15"/>
      <c r="TEB2" s="15"/>
      <c r="TEC2" s="15"/>
      <c r="TED2" s="15"/>
      <c r="TEE2" s="15"/>
      <c r="TEF2" s="15"/>
      <c r="TEG2" s="15"/>
      <c r="TEH2" s="15"/>
      <c r="TEI2" s="15"/>
      <c r="TEJ2" s="15"/>
      <c r="TEK2" s="15"/>
      <c r="TEL2" s="15"/>
      <c r="TEM2" s="15"/>
      <c r="TEN2" s="15"/>
      <c r="TEO2" s="15"/>
      <c r="TEP2" s="15"/>
      <c r="TEQ2" s="15"/>
      <c r="TER2" s="15"/>
      <c r="TES2" s="15"/>
      <c r="TET2" s="15"/>
      <c r="TEU2" s="15"/>
      <c r="TEV2" s="15"/>
      <c r="TEW2" s="15"/>
      <c r="TEX2" s="15"/>
      <c r="TEY2" s="15"/>
      <c r="TEZ2" s="15"/>
      <c r="TFA2" s="15"/>
      <c r="TFB2" s="15"/>
      <c r="TFC2" s="15"/>
      <c r="TFD2" s="15"/>
      <c r="TFE2" s="15"/>
      <c r="TFF2" s="15"/>
      <c r="TFG2" s="15"/>
      <c r="TFH2" s="15"/>
      <c r="TFI2" s="15"/>
      <c r="TFJ2" s="15"/>
      <c r="TFK2" s="15"/>
      <c r="TFL2" s="15"/>
      <c r="TFM2" s="15"/>
      <c r="TFN2" s="15"/>
      <c r="TFO2" s="15"/>
      <c r="TFP2" s="15"/>
      <c r="TFQ2" s="15"/>
      <c r="TFR2" s="15"/>
      <c r="TFS2" s="15"/>
      <c r="TFT2" s="15"/>
      <c r="TFU2" s="15"/>
      <c r="TFV2" s="15"/>
      <c r="TFW2" s="15"/>
      <c r="TFX2" s="15"/>
      <c r="TFY2" s="15"/>
      <c r="TFZ2" s="15"/>
      <c r="TGA2" s="15"/>
      <c r="TGB2" s="15"/>
      <c r="TGC2" s="15"/>
      <c r="TGD2" s="15"/>
      <c r="TGE2" s="15"/>
      <c r="TGF2" s="15"/>
      <c r="TGG2" s="15"/>
      <c r="TGH2" s="15"/>
      <c r="TGI2" s="15"/>
      <c r="TGJ2" s="15"/>
      <c r="TGK2" s="15"/>
      <c r="TGL2" s="15"/>
      <c r="TGM2" s="15"/>
      <c r="TGN2" s="15"/>
      <c r="TGO2" s="15"/>
      <c r="TGP2" s="15"/>
      <c r="TGQ2" s="15"/>
      <c r="TGR2" s="15"/>
      <c r="TGS2" s="15"/>
      <c r="TGT2" s="15"/>
      <c r="TGU2" s="15"/>
      <c r="TGV2" s="15"/>
      <c r="TGW2" s="15"/>
      <c r="TGX2" s="15"/>
      <c r="TGY2" s="15"/>
      <c r="TGZ2" s="15"/>
      <c r="THA2" s="15"/>
      <c r="THB2" s="15"/>
      <c r="THC2" s="15"/>
      <c r="THD2" s="15"/>
      <c r="THE2" s="15"/>
      <c r="THF2" s="15"/>
      <c r="THG2" s="15"/>
      <c r="THH2" s="15"/>
      <c r="THI2" s="15"/>
      <c r="THJ2" s="15"/>
      <c r="THK2" s="15"/>
      <c r="THL2" s="15"/>
      <c r="THM2" s="15"/>
      <c r="THN2" s="15"/>
      <c r="THO2" s="15"/>
      <c r="THP2" s="15"/>
      <c r="THQ2" s="15"/>
      <c r="THR2" s="15"/>
      <c r="THS2" s="15"/>
      <c r="THT2" s="15"/>
      <c r="THU2" s="15"/>
      <c r="THV2" s="15"/>
      <c r="THW2" s="15"/>
      <c r="THX2" s="15"/>
      <c r="THY2" s="15"/>
      <c r="THZ2" s="15"/>
      <c r="TIA2" s="15"/>
      <c r="TIB2" s="15"/>
      <c r="TIC2" s="15"/>
      <c r="TID2" s="15"/>
      <c r="TIE2" s="15"/>
      <c r="TIF2" s="15"/>
      <c r="TIG2" s="15"/>
      <c r="TIH2" s="15"/>
      <c r="TII2" s="15"/>
      <c r="TIJ2" s="15"/>
      <c r="TIK2" s="15"/>
      <c r="TIL2" s="15"/>
      <c r="TIM2" s="15"/>
      <c r="TIN2" s="15"/>
      <c r="TIO2" s="15"/>
      <c r="TIP2" s="15"/>
      <c r="TIQ2" s="15"/>
      <c r="TIR2" s="15"/>
      <c r="TIS2" s="15"/>
      <c r="TIT2" s="15"/>
      <c r="TIU2" s="15"/>
      <c r="TIV2" s="15"/>
      <c r="TIW2" s="15"/>
      <c r="TIX2" s="15"/>
      <c r="TIY2" s="15"/>
      <c r="TIZ2" s="15"/>
      <c r="TJA2" s="15"/>
      <c r="TJB2" s="15"/>
      <c r="TJC2" s="15"/>
      <c r="TJD2" s="15"/>
      <c r="TJE2" s="15"/>
      <c r="TJF2" s="15"/>
      <c r="TJG2" s="15"/>
      <c r="TJH2" s="15"/>
      <c r="TJI2" s="15"/>
      <c r="TJJ2" s="15"/>
      <c r="TJK2" s="15"/>
      <c r="TJL2" s="15"/>
      <c r="TJM2" s="15"/>
      <c r="TJN2" s="15"/>
      <c r="TJO2" s="15"/>
      <c r="TJP2" s="15"/>
      <c r="TJQ2" s="15"/>
      <c r="TJR2" s="15"/>
      <c r="TJS2" s="15"/>
      <c r="TJT2" s="15"/>
      <c r="TJU2" s="15"/>
      <c r="TJV2" s="15"/>
      <c r="TJW2" s="15"/>
      <c r="TJX2" s="15"/>
      <c r="TJY2" s="15"/>
      <c r="TJZ2" s="15"/>
      <c r="TKA2" s="15"/>
      <c r="TKB2" s="15"/>
      <c r="TKC2" s="15"/>
      <c r="TKD2" s="15"/>
      <c r="TKE2" s="15"/>
      <c r="TKF2" s="15"/>
      <c r="TKG2" s="15"/>
      <c r="TKH2" s="15"/>
      <c r="TKI2" s="15"/>
      <c r="TKJ2" s="15"/>
      <c r="TKK2" s="15"/>
      <c r="TKL2" s="15"/>
      <c r="TKM2" s="15"/>
      <c r="TKN2" s="15"/>
      <c r="TKO2" s="15"/>
      <c r="TKP2" s="15"/>
      <c r="TKQ2" s="15"/>
      <c r="TKR2" s="15"/>
      <c r="TKS2" s="15"/>
      <c r="TKT2" s="15"/>
      <c r="TKU2" s="15"/>
      <c r="TKV2" s="15"/>
      <c r="TKW2" s="15"/>
      <c r="TKX2" s="15"/>
      <c r="TKY2" s="15"/>
      <c r="TKZ2" s="15"/>
      <c r="TLA2" s="15"/>
      <c r="TLB2" s="15"/>
      <c r="TLC2" s="15"/>
      <c r="TLD2" s="15"/>
      <c r="TLE2" s="15"/>
      <c r="TLF2" s="15"/>
      <c r="TLG2" s="15"/>
      <c r="TLH2" s="15"/>
      <c r="TLI2" s="15"/>
      <c r="TLJ2" s="15"/>
      <c r="TLK2" s="15"/>
      <c r="TLL2" s="15"/>
      <c r="TLM2" s="15"/>
      <c r="TLN2" s="15"/>
      <c r="TLO2" s="15"/>
      <c r="TLP2" s="15"/>
      <c r="TLQ2" s="15"/>
      <c r="TLR2" s="15"/>
      <c r="TLS2" s="15"/>
      <c r="TLT2" s="15"/>
      <c r="TLU2" s="15"/>
      <c r="TLV2" s="15"/>
      <c r="TLW2" s="15"/>
      <c r="TLX2" s="15"/>
      <c r="TLY2" s="15"/>
      <c r="TLZ2" s="15"/>
      <c r="TMA2" s="15"/>
      <c r="TMB2" s="15"/>
      <c r="TMC2" s="15"/>
      <c r="TMD2" s="15"/>
      <c r="TME2" s="15"/>
      <c r="TMF2" s="15"/>
      <c r="TMG2" s="15"/>
      <c r="TMH2" s="15"/>
      <c r="TMI2" s="15"/>
      <c r="TMJ2" s="15"/>
      <c r="TMK2" s="15"/>
      <c r="TML2" s="15"/>
      <c r="TMM2" s="15"/>
      <c r="TMN2" s="15"/>
      <c r="TMO2" s="15"/>
      <c r="TMP2" s="15"/>
      <c r="TMQ2" s="15"/>
      <c r="TMR2" s="15"/>
      <c r="TMS2" s="15"/>
      <c r="TMT2" s="15"/>
      <c r="TMU2" s="15"/>
      <c r="TMV2" s="15"/>
      <c r="TMW2" s="15"/>
      <c r="TMX2" s="15"/>
      <c r="TMY2" s="15"/>
      <c r="TMZ2" s="15"/>
      <c r="TNA2" s="15"/>
      <c r="TNB2" s="15"/>
      <c r="TNC2" s="15"/>
      <c r="TND2" s="15"/>
      <c r="TNE2" s="15"/>
      <c r="TNF2" s="15"/>
      <c r="TNG2" s="15"/>
      <c r="TNH2" s="15"/>
      <c r="TNI2" s="15"/>
      <c r="TNJ2" s="15"/>
      <c r="TNK2" s="15"/>
      <c r="TNL2" s="15"/>
      <c r="TNM2" s="15"/>
      <c r="TNN2" s="15"/>
      <c r="TNO2" s="15"/>
      <c r="TNP2" s="15"/>
      <c r="TNQ2" s="15"/>
      <c r="TNR2" s="15"/>
      <c r="TNS2" s="15"/>
      <c r="TNT2" s="15"/>
      <c r="TNU2" s="15"/>
      <c r="TNV2" s="15"/>
      <c r="TNW2" s="15"/>
      <c r="TNX2" s="15"/>
      <c r="TNY2" s="15"/>
      <c r="TNZ2" s="15"/>
      <c r="TOA2" s="15"/>
      <c r="TOB2" s="15"/>
      <c r="TOC2" s="15"/>
      <c r="TOD2" s="15"/>
      <c r="TOE2" s="15"/>
      <c r="TOF2" s="15"/>
      <c r="TOG2" s="15"/>
      <c r="TOH2" s="15"/>
      <c r="TOI2" s="15"/>
      <c r="TOJ2" s="15"/>
      <c r="TOK2" s="15"/>
      <c r="TOL2" s="15"/>
      <c r="TOM2" s="15"/>
      <c r="TON2" s="15"/>
      <c r="TOO2" s="15"/>
      <c r="TOP2" s="15"/>
      <c r="TOQ2" s="15"/>
      <c r="TOR2" s="15"/>
      <c r="TOS2" s="15"/>
      <c r="TOT2" s="15"/>
      <c r="TOU2" s="15"/>
      <c r="TOV2" s="15"/>
      <c r="TOW2" s="15"/>
      <c r="TOX2" s="15"/>
      <c r="TOY2" s="15"/>
      <c r="TOZ2" s="15"/>
      <c r="TPA2" s="15"/>
      <c r="TPB2" s="15"/>
      <c r="TPC2" s="15"/>
      <c r="TPD2" s="15"/>
      <c r="TPE2" s="15"/>
      <c r="TPF2" s="15"/>
      <c r="TPG2" s="15"/>
      <c r="TPH2" s="15"/>
      <c r="TPI2" s="15"/>
      <c r="TPJ2" s="15"/>
      <c r="TPK2" s="15"/>
      <c r="TPL2" s="15"/>
      <c r="TPM2" s="15"/>
      <c r="TPN2" s="15"/>
      <c r="TPO2" s="15"/>
      <c r="TPP2" s="15"/>
      <c r="TPQ2" s="15"/>
      <c r="TPR2" s="15"/>
      <c r="TPS2" s="15"/>
      <c r="TPT2" s="15"/>
      <c r="TPU2" s="15"/>
      <c r="TPV2" s="15"/>
      <c r="TPW2" s="15"/>
      <c r="TPX2" s="15"/>
      <c r="TPY2" s="15"/>
      <c r="TPZ2" s="15"/>
      <c r="TQA2" s="15"/>
      <c r="TQB2" s="15"/>
      <c r="TQC2" s="15"/>
      <c r="TQD2" s="15"/>
      <c r="TQE2" s="15"/>
      <c r="TQF2" s="15"/>
      <c r="TQG2" s="15"/>
      <c r="TQH2" s="15"/>
      <c r="TQI2" s="15"/>
      <c r="TQJ2" s="15"/>
      <c r="TQK2" s="15"/>
      <c r="TQL2" s="15"/>
      <c r="TQM2" s="15"/>
      <c r="TQN2" s="15"/>
      <c r="TQO2" s="15"/>
      <c r="TQP2" s="15"/>
      <c r="TQQ2" s="15"/>
      <c r="TQR2" s="15"/>
      <c r="TQS2" s="15"/>
      <c r="TQT2" s="15"/>
      <c r="TQU2" s="15"/>
      <c r="TQV2" s="15"/>
      <c r="TQW2" s="15"/>
      <c r="TQX2" s="15"/>
      <c r="TQY2" s="15"/>
      <c r="TQZ2" s="15"/>
      <c r="TRA2" s="15"/>
      <c r="TRB2" s="15"/>
      <c r="TRC2" s="15"/>
      <c r="TRD2" s="15"/>
      <c r="TRE2" s="15"/>
      <c r="TRF2" s="15"/>
      <c r="TRG2" s="15"/>
      <c r="TRH2" s="15"/>
      <c r="TRI2" s="15"/>
      <c r="TRJ2" s="15"/>
      <c r="TRK2" s="15"/>
      <c r="TRL2" s="15"/>
      <c r="TRM2" s="15"/>
      <c r="TRN2" s="15"/>
      <c r="TRO2" s="15"/>
      <c r="TRP2" s="15"/>
      <c r="TRQ2" s="15"/>
      <c r="TRR2" s="15"/>
      <c r="TRS2" s="15"/>
      <c r="TRT2" s="15"/>
      <c r="TRU2" s="15"/>
      <c r="TRV2" s="15"/>
      <c r="TRW2" s="15"/>
      <c r="TRX2" s="15"/>
      <c r="TRY2" s="15"/>
      <c r="TRZ2" s="15"/>
      <c r="TSA2" s="15"/>
      <c r="TSB2" s="15"/>
      <c r="TSC2" s="15"/>
      <c r="TSD2" s="15"/>
      <c r="TSE2" s="15"/>
      <c r="TSF2" s="15"/>
      <c r="TSG2" s="15"/>
      <c r="TSH2" s="15"/>
      <c r="TSI2" s="15"/>
      <c r="TSJ2" s="15"/>
      <c r="TSK2" s="15"/>
      <c r="TSL2" s="15"/>
      <c r="TSM2" s="15"/>
      <c r="TSN2" s="15"/>
      <c r="TSO2" s="15"/>
      <c r="TSP2" s="15"/>
      <c r="TSQ2" s="15"/>
      <c r="TSR2" s="15"/>
      <c r="TSS2" s="15"/>
      <c r="TST2" s="15"/>
      <c r="TSU2" s="15"/>
      <c r="TSV2" s="15"/>
      <c r="TSW2" s="15"/>
      <c r="TSX2" s="15"/>
      <c r="TSY2" s="15"/>
      <c r="TSZ2" s="15"/>
      <c r="TTA2" s="15"/>
      <c r="TTB2" s="15"/>
      <c r="TTC2" s="15"/>
      <c r="TTD2" s="15"/>
      <c r="TTE2" s="15"/>
      <c r="TTF2" s="15"/>
      <c r="TTG2" s="15"/>
      <c r="TTH2" s="15"/>
      <c r="TTI2" s="15"/>
      <c r="TTJ2" s="15"/>
      <c r="TTK2" s="15"/>
      <c r="TTL2" s="15"/>
      <c r="TTM2" s="15"/>
      <c r="TTN2" s="15"/>
      <c r="TTO2" s="15"/>
      <c r="TTP2" s="15"/>
      <c r="TTQ2" s="15"/>
      <c r="TTR2" s="15"/>
      <c r="TTS2" s="15"/>
      <c r="TTT2" s="15"/>
      <c r="TTU2" s="15"/>
      <c r="TTV2" s="15"/>
      <c r="TTW2" s="15"/>
      <c r="TTX2" s="15"/>
      <c r="TTY2" s="15"/>
      <c r="TTZ2" s="15"/>
      <c r="TUA2" s="15"/>
      <c r="TUB2" s="15"/>
      <c r="TUC2" s="15"/>
      <c r="TUD2" s="15"/>
      <c r="TUE2" s="15"/>
      <c r="TUF2" s="15"/>
      <c r="TUG2" s="15"/>
      <c r="TUH2" s="15"/>
      <c r="TUI2" s="15"/>
      <c r="TUJ2" s="15"/>
      <c r="TUK2" s="15"/>
      <c r="TUL2" s="15"/>
      <c r="TUM2" s="15"/>
      <c r="TUN2" s="15"/>
      <c r="TUO2" s="15"/>
      <c r="TUP2" s="15"/>
      <c r="TUQ2" s="15"/>
      <c r="TUR2" s="15"/>
      <c r="TUS2" s="15"/>
      <c r="TUT2" s="15"/>
      <c r="TUU2" s="15"/>
      <c r="TUV2" s="15"/>
      <c r="TUW2" s="15"/>
      <c r="TUX2" s="15"/>
      <c r="TUY2" s="15"/>
      <c r="TUZ2" s="15"/>
      <c r="TVA2" s="15"/>
      <c r="TVB2" s="15"/>
      <c r="TVC2" s="15"/>
      <c r="TVD2" s="15"/>
      <c r="TVE2" s="15"/>
      <c r="TVF2" s="15"/>
      <c r="TVG2" s="15"/>
      <c r="TVH2" s="15"/>
      <c r="TVI2" s="15"/>
      <c r="TVJ2" s="15"/>
      <c r="TVK2" s="15"/>
      <c r="TVL2" s="15"/>
      <c r="TVM2" s="15"/>
      <c r="TVN2" s="15"/>
      <c r="TVO2" s="15"/>
      <c r="TVP2" s="15"/>
      <c r="TVQ2" s="15"/>
      <c r="TVR2" s="15"/>
      <c r="TVS2" s="15"/>
      <c r="TVT2" s="15"/>
      <c r="TVU2" s="15"/>
      <c r="TVV2" s="15"/>
      <c r="TVW2" s="15"/>
      <c r="TVX2" s="15"/>
      <c r="TVY2" s="15"/>
      <c r="TVZ2" s="15"/>
      <c r="TWA2" s="15"/>
      <c r="TWB2" s="15"/>
      <c r="TWC2" s="15"/>
      <c r="TWD2" s="15"/>
      <c r="TWE2" s="15"/>
      <c r="TWF2" s="15"/>
      <c r="TWG2" s="15"/>
      <c r="TWH2" s="15"/>
      <c r="TWI2" s="15"/>
      <c r="TWJ2" s="15"/>
      <c r="TWK2" s="15"/>
      <c r="TWL2" s="15"/>
      <c r="TWM2" s="15"/>
      <c r="TWN2" s="15"/>
      <c r="TWO2" s="15"/>
      <c r="TWP2" s="15"/>
      <c r="TWQ2" s="15"/>
      <c r="TWR2" s="15"/>
      <c r="TWS2" s="15"/>
      <c r="TWT2" s="15"/>
      <c r="TWU2" s="15"/>
      <c r="TWV2" s="15"/>
      <c r="TWW2" s="15"/>
      <c r="TWX2" s="15"/>
      <c r="TWY2" s="15"/>
      <c r="TWZ2" s="15"/>
      <c r="TXA2" s="15"/>
      <c r="TXB2" s="15"/>
      <c r="TXC2" s="15"/>
      <c r="TXD2" s="15"/>
      <c r="TXE2" s="15"/>
      <c r="TXF2" s="15"/>
      <c r="TXG2" s="15"/>
      <c r="TXH2" s="15"/>
      <c r="TXI2" s="15"/>
      <c r="TXJ2" s="15"/>
      <c r="TXK2" s="15"/>
      <c r="TXL2" s="15"/>
      <c r="TXM2" s="15"/>
      <c r="TXN2" s="15"/>
      <c r="TXO2" s="15"/>
      <c r="TXP2" s="15"/>
      <c r="TXQ2" s="15"/>
      <c r="TXR2" s="15"/>
      <c r="TXS2" s="15"/>
      <c r="TXT2" s="15"/>
      <c r="TXU2" s="15"/>
      <c r="TXV2" s="15"/>
      <c r="TXW2" s="15"/>
      <c r="TXX2" s="15"/>
      <c r="TXY2" s="15"/>
      <c r="TXZ2" s="15"/>
      <c r="TYA2" s="15"/>
      <c r="TYB2" s="15"/>
      <c r="TYC2" s="15"/>
      <c r="TYD2" s="15"/>
      <c r="TYE2" s="15"/>
      <c r="TYF2" s="15"/>
      <c r="TYG2" s="15"/>
      <c r="TYH2" s="15"/>
      <c r="TYI2" s="15"/>
      <c r="TYJ2" s="15"/>
      <c r="TYK2" s="15"/>
      <c r="TYL2" s="15"/>
      <c r="TYM2" s="15"/>
      <c r="TYN2" s="15"/>
      <c r="TYO2" s="15"/>
      <c r="TYP2" s="15"/>
      <c r="TYQ2" s="15"/>
      <c r="TYR2" s="15"/>
      <c r="TYS2" s="15"/>
      <c r="TYT2" s="15"/>
      <c r="TYU2" s="15"/>
      <c r="TYV2" s="15"/>
      <c r="TYW2" s="15"/>
      <c r="TYX2" s="15"/>
      <c r="TYY2" s="15"/>
      <c r="TYZ2" s="15"/>
      <c r="TZA2" s="15"/>
      <c r="TZB2" s="15"/>
      <c r="TZC2" s="15"/>
      <c r="TZD2" s="15"/>
      <c r="TZE2" s="15"/>
      <c r="TZF2" s="15"/>
      <c r="TZG2" s="15"/>
      <c r="TZH2" s="15"/>
      <c r="TZI2" s="15"/>
      <c r="TZJ2" s="15"/>
      <c r="TZK2" s="15"/>
      <c r="TZL2" s="15"/>
      <c r="TZM2" s="15"/>
      <c r="TZN2" s="15"/>
      <c r="TZO2" s="15"/>
      <c r="TZP2" s="15"/>
      <c r="TZQ2" s="15"/>
      <c r="TZR2" s="15"/>
      <c r="TZS2" s="15"/>
      <c r="TZT2" s="15"/>
      <c r="TZU2" s="15"/>
      <c r="TZV2" s="15"/>
      <c r="TZW2" s="15"/>
      <c r="TZX2" s="15"/>
      <c r="TZY2" s="15"/>
      <c r="TZZ2" s="15"/>
      <c r="UAA2" s="15"/>
      <c r="UAB2" s="15"/>
      <c r="UAC2" s="15"/>
      <c r="UAD2" s="15"/>
      <c r="UAE2" s="15"/>
      <c r="UAF2" s="15"/>
      <c r="UAG2" s="15"/>
      <c r="UAH2" s="15"/>
      <c r="UAI2" s="15"/>
      <c r="UAJ2" s="15"/>
      <c r="UAK2" s="15"/>
      <c r="UAL2" s="15"/>
      <c r="UAM2" s="15"/>
      <c r="UAN2" s="15"/>
      <c r="UAO2" s="15"/>
      <c r="UAP2" s="15"/>
      <c r="UAQ2" s="15"/>
      <c r="UAR2" s="15"/>
      <c r="UAS2" s="15"/>
      <c r="UAT2" s="15"/>
      <c r="UAU2" s="15"/>
      <c r="UAV2" s="15"/>
      <c r="UAW2" s="15"/>
      <c r="UAX2" s="15"/>
      <c r="UAY2" s="15"/>
      <c r="UAZ2" s="15"/>
      <c r="UBA2" s="15"/>
      <c r="UBB2" s="15"/>
      <c r="UBC2" s="15"/>
      <c r="UBD2" s="15"/>
      <c r="UBE2" s="15"/>
      <c r="UBF2" s="15"/>
      <c r="UBG2" s="15"/>
      <c r="UBH2" s="15"/>
      <c r="UBI2" s="15"/>
      <c r="UBJ2" s="15"/>
      <c r="UBK2" s="15"/>
      <c r="UBL2" s="15"/>
      <c r="UBM2" s="15"/>
      <c r="UBN2" s="15"/>
      <c r="UBO2" s="15"/>
      <c r="UBP2" s="15"/>
      <c r="UBQ2" s="15"/>
      <c r="UBR2" s="15"/>
      <c r="UBS2" s="15"/>
      <c r="UBT2" s="15"/>
      <c r="UBU2" s="15"/>
      <c r="UBV2" s="15"/>
      <c r="UBW2" s="15"/>
      <c r="UBX2" s="15"/>
      <c r="UBY2" s="15"/>
      <c r="UBZ2" s="15"/>
      <c r="UCA2" s="15"/>
      <c r="UCB2" s="15"/>
      <c r="UCC2" s="15"/>
      <c r="UCD2" s="15"/>
      <c r="UCE2" s="15"/>
      <c r="UCF2" s="15"/>
      <c r="UCG2" s="15"/>
      <c r="UCH2" s="15"/>
      <c r="UCI2" s="15"/>
      <c r="UCJ2" s="15"/>
      <c r="UCK2" s="15"/>
      <c r="UCL2" s="15"/>
      <c r="UCM2" s="15"/>
      <c r="UCN2" s="15"/>
      <c r="UCO2" s="15"/>
      <c r="UCP2" s="15"/>
      <c r="UCQ2" s="15"/>
      <c r="UCR2" s="15"/>
      <c r="UCS2" s="15"/>
      <c r="UCT2" s="15"/>
      <c r="UCU2" s="15"/>
      <c r="UCV2" s="15"/>
      <c r="UCW2" s="15"/>
      <c r="UCX2" s="15"/>
      <c r="UCY2" s="15"/>
      <c r="UCZ2" s="15"/>
      <c r="UDA2" s="15"/>
      <c r="UDB2" s="15"/>
      <c r="UDC2" s="15"/>
      <c r="UDD2" s="15"/>
      <c r="UDE2" s="15"/>
      <c r="UDF2" s="15"/>
      <c r="UDG2" s="15"/>
      <c r="UDH2" s="15"/>
      <c r="UDI2" s="15"/>
      <c r="UDJ2" s="15"/>
      <c r="UDK2" s="15"/>
      <c r="UDL2" s="15"/>
      <c r="UDM2" s="15"/>
      <c r="UDN2" s="15"/>
      <c r="UDO2" s="15"/>
      <c r="UDP2" s="15"/>
      <c r="UDQ2" s="15"/>
      <c r="UDR2" s="15"/>
      <c r="UDS2" s="15"/>
      <c r="UDT2" s="15"/>
      <c r="UDU2" s="15"/>
      <c r="UDV2" s="15"/>
      <c r="UDW2" s="15"/>
      <c r="UDX2" s="15"/>
      <c r="UDY2" s="15"/>
      <c r="UDZ2" s="15"/>
      <c r="UEA2" s="15"/>
      <c r="UEB2" s="15"/>
      <c r="UEC2" s="15"/>
      <c r="UED2" s="15"/>
      <c r="UEE2" s="15"/>
      <c r="UEF2" s="15"/>
      <c r="UEG2" s="15"/>
      <c r="UEH2" s="15"/>
      <c r="UEI2" s="15"/>
      <c r="UEJ2" s="15"/>
      <c r="UEK2" s="15"/>
      <c r="UEL2" s="15"/>
      <c r="UEM2" s="15"/>
      <c r="UEN2" s="15"/>
      <c r="UEO2" s="15"/>
      <c r="UEP2" s="15"/>
      <c r="UEQ2" s="15"/>
      <c r="UER2" s="15"/>
      <c r="UES2" s="15"/>
      <c r="UET2" s="15"/>
      <c r="UEU2" s="15"/>
      <c r="UEV2" s="15"/>
      <c r="UEW2" s="15"/>
      <c r="UEX2" s="15"/>
      <c r="UEY2" s="15"/>
      <c r="UEZ2" s="15"/>
      <c r="UFA2" s="15"/>
      <c r="UFB2" s="15"/>
      <c r="UFC2" s="15"/>
      <c r="UFD2" s="15"/>
      <c r="UFE2" s="15"/>
      <c r="UFF2" s="15"/>
      <c r="UFG2" s="15"/>
      <c r="UFH2" s="15"/>
      <c r="UFI2" s="15"/>
      <c r="UFJ2" s="15"/>
      <c r="UFK2" s="15"/>
      <c r="UFL2" s="15"/>
      <c r="UFM2" s="15"/>
      <c r="UFN2" s="15"/>
      <c r="UFO2" s="15"/>
      <c r="UFP2" s="15"/>
      <c r="UFQ2" s="15"/>
      <c r="UFR2" s="15"/>
      <c r="UFS2" s="15"/>
      <c r="UFT2" s="15"/>
      <c r="UFU2" s="15"/>
      <c r="UFV2" s="15"/>
      <c r="UFW2" s="15"/>
      <c r="UFX2" s="15"/>
      <c r="UFY2" s="15"/>
      <c r="UFZ2" s="15"/>
      <c r="UGA2" s="15"/>
      <c r="UGB2" s="15"/>
      <c r="UGC2" s="15"/>
      <c r="UGD2" s="15"/>
      <c r="UGE2" s="15"/>
      <c r="UGF2" s="15"/>
      <c r="UGG2" s="15"/>
      <c r="UGH2" s="15"/>
      <c r="UGI2" s="15"/>
      <c r="UGJ2" s="15"/>
      <c r="UGK2" s="15"/>
      <c r="UGL2" s="15"/>
      <c r="UGM2" s="15"/>
      <c r="UGN2" s="15"/>
      <c r="UGO2" s="15"/>
      <c r="UGP2" s="15"/>
      <c r="UGQ2" s="15"/>
      <c r="UGR2" s="15"/>
      <c r="UGS2" s="15"/>
      <c r="UGT2" s="15"/>
      <c r="UGU2" s="15"/>
      <c r="UGV2" s="15"/>
      <c r="UGW2" s="15"/>
      <c r="UGX2" s="15"/>
      <c r="UGY2" s="15"/>
      <c r="UGZ2" s="15"/>
      <c r="UHA2" s="15"/>
      <c r="UHB2" s="15"/>
      <c r="UHC2" s="15"/>
      <c r="UHD2" s="15"/>
      <c r="UHE2" s="15"/>
      <c r="UHF2" s="15"/>
      <c r="UHG2" s="15"/>
      <c r="UHH2" s="15"/>
      <c r="UHI2" s="15"/>
      <c r="UHJ2" s="15"/>
      <c r="UHK2" s="15"/>
      <c r="UHL2" s="15"/>
      <c r="UHM2" s="15"/>
      <c r="UHN2" s="15"/>
      <c r="UHO2" s="15"/>
      <c r="UHP2" s="15"/>
      <c r="UHQ2" s="15"/>
      <c r="UHR2" s="15"/>
      <c r="UHS2" s="15"/>
      <c r="UHT2" s="15"/>
      <c r="UHU2" s="15"/>
      <c r="UHV2" s="15"/>
      <c r="UHW2" s="15"/>
      <c r="UHX2" s="15"/>
      <c r="UHY2" s="15"/>
      <c r="UHZ2" s="15"/>
      <c r="UIA2" s="15"/>
      <c r="UIB2" s="15"/>
      <c r="UIC2" s="15"/>
      <c r="UID2" s="15"/>
      <c r="UIE2" s="15"/>
      <c r="UIF2" s="15"/>
      <c r="UIG2" s="15"/>
      <c r="UIH2" s="15"/>
      <c r="UII2" s="15"/>
      <c r="UIJ2" s="15"/>
      <c r="UIK2" s="15"/>
      <c r="UIL2" s="15"/>
      <c r="UIM2" s="15"/>
      <c r="UIN2" s="15"/>
      <c r="UIO2" s="15"/>
      <c r="UIP2" s="15"/>
      <c r="UIQ2" s="15"/>
      <c r="UIR2" s="15"/>
      <c r="UIS2" s="15"/>
      <c r="UIT2" s="15"/>
      <c r="UIU2" s="15"/>
      <c r="UIV2" s="15"/>
      <c r="UIW2" s="15"/>
      <c r="UIX2" s="15"/>
      <c r="UIY2" s="15"/>
      <c r="UIZ2" s="15"/>
      <c r="UJA2" s="15"/>
      <c r="UJB2" s="15"/>
      <c r="UJC2" s="15"/>
      <c r="UJD2" s="15"/>
      <c r="UJE2" s="15"/>
      <c r="UJF2" s="15"/>
      <c r="UJG2" s="15"/>
      <c r="UJH2" s="15"/>
      <c r="UJI2" s="15"/>
      <c r="UJJ2" s="15"/>
      <c r="UJK2" s="15"/>
      <c r="UJL2" s="15"/>
      <c r="UJM2" s="15"/>
      <c r="UJN2" s="15"/>
      <c r="UJO2" s="15"/>
      <c r="UJP2" s="15"/>
      <c r="UJQ2" s="15"/>
      <c r="UJR2" s="15"/>
      <c r="UJS2" s="15"/>
      <c r="UJT2" s="15"/>
      <c r="UJU2" s="15"/>
      <c r="UJV2" s="15"/>
      <c r="UJW2" s="15"/>
      <c r="UJX2" s="15"/>
      <c r="UJY2" s="15"/>
      <c r="UJZ2" s="15"/>
      <c r="UKA2" s="15"/>
      <c r="UKB2" s="15"/>
      <c r="UKC2" s="15"/>
      <c r="UKD2" s="15"/>
      <c r="UKE2" s="15"/>
      <c r="UKF2" s="15"/>
      <c r="UKG2" s="15"/>
      <c r="UKH2" s="15"/>
      <c r="UKI2" s="15"/>
      <c r="UKJ2" s="15"/>
      <c r="UKK2" s="15"/>
      <c r="UKL2" s="15"/>
      <c r="UKM2" s="15"/>
      <c r="UKN2" s="15"/>
      <c r="UKO2" s="15"/>
      <c r="UKP2" s="15"/>
      <c r="UKQ2" s="15"/>
      <c r="UKR2" s="15"/>
      <c r="UKS2" s="15"/>
      <c r="UKT2" s="15"/>
      <c r="UKU2" s="15"/>
      <c r="UKV2" s="15"/>
      <c r="UKW2" s="15"/>
      <c r="UKX2" s="15"/>
      <c r="UKY2" s="15"/>
      <c r="UKZ2" s="15"/>
      <c r="ULA2" s="15"/>
      <c r="ULB2" s="15"/>
      <c r="ULC2" s="15"/>
      <c r="ULD2" s="15"/>
      <c r="ULE2" s="15"/>
      <c r="ULF2" s="15"/>
      <c r="ULG2" s="15"/>
      <c r="ULH2" s="15"/>
      <c r="ULI2" s="15"/>
      <c r="ULJ2" s="15"/>
      <c r="ULK2" s="15"/>
      <c r="ULL2" s="15"/>
      <c r="ULM2" s="15"/>
      <c r="ULN2" s="15"/>
      <c r="ULO2" s="15"/>
      <c r="ULP2" s="15"/>
      <c r="ULQ2" s="15"/>
      <c r="ULR2" s="15"/>
      <c r="ULS2" s="15"/>
      <c r="ULT2" s="15"/>
      <c r="ULU2" s="15"/>
      <c r="ULV2" s="15"/>
      <c r="ULW2" s="15"/>
      <c r="ULX2" s="15"/>
      <c r="ULY2" s="15"/>
      <c r="ULZ2" s="15"/>
      <c r="UMA2" s="15"/>
      <c r="UMB2" s="15"/>
      <c r="UMC2" s="15"/>
      <c r="UMD2" s="15"/>
      <c r="UME2" s="15"/>
      <c r="UMF2" s="15"/>
      <c r="UMG2" s="15"/>
      <c r="UMH2" s="15"/>
      <c r="UMI2" s="15"/>
      <c r="UMJ2" s="15"/>
      <c r="UMK2" s="15"/>
      <c r="UML2" s="15"/>
      <c r="UMM2" s="15"/>
      <c r="UMN2" s="15"/>
      <c r="UMO2" s="15"/>
      <c r="UMP2" s="15"/>
      <c r="UMQ2" s="15"/>
      <c r="UMR2" s="15"/>
      <c r="UMS2" s="15"/>
      <c r="UMT2" s="15"/>
      <c r="UMU2" s="15"/>
      <c r="UMV2" s="15"/>
      <c r="UMW2" s="15"/>
      <c r="UMX2" s="15"/>
      <c r="UMY2" s="15"/>
      <c r="UMZ2" s="15"/>
      <c r="UNA2" s="15"/>
      <c r="UNB2" s="15"/>
      <c r="UNC2" s="15"/>
      <c r="UND2" s="15"/>
      <c r="UNE2" s="15"/>
      <c r="UNF2" s="15"/>
      <c r="UNG2" s="15"/>
      <c r="UNH2" s="15"/>
      <c r="UNI2" s="15"/>
      <c r="UNJ2" s="15"/>
      <c r="UNK2" s="15"/>
      <c r="UNL2" s="15"/>
      <c r="UNM2" s="15"/>
      <c r="UNN2" s="15"/>
      <c r="UNO2" s="15"/>
      <c r="UNP2" s="15"/>
      <c r="UNQ2" s="15"/>
      <c r="UNR2" s="15"/>
      <c r="UNS2" s="15"/>
      <c r="UNT2" s="15"/>
      <c r="UNU2" s="15"/>
      <c r="UNV2" s="15"/>
      <c r="UNW2" s="15"/>
      <c r="UNX2" s="15"/>
      <c r="UNY2" s="15"/>
      <c r="UNZ2" s="15"/>
      <c r="UOA2" s="15"/>
      <c r="UOB2" s="15"/>
      <c r="UOC2" s="15"/>
      <c r="UOD2" s="15"/>
      <c r="UOE2" s="15"/>
      <c r="UOF2" s="15"/>
      <c r="UOG2" s="15"/>
      <c r="UOH2" s="15"/>
      <c r="UOI2" s="15"/>
      <c r="UOJ2" s="15"/>
      <c r="UOK2" s="15"/>
      <c r="UOL2" s="15"/>
      <c r="UOM2" s="15"/>
      <c r="UON2" s="15"/>
      <c r="UOO2" s="15"/>
      <c r="UOP2" s="15"/>
      <c r="UOQ2" s="15"/>
      <c r="UOR2" s="15"/>
      <c r="UOS2" s="15"/>
      <c r="UOT2" s="15"/>
      <c r="UOU2" s="15"/>
      <c r="UOV2" s="15"/>
      <c r="UOW2" s="15"/>
      <c r="UOX2" s="15"/>
      <c r="UOY2" s="15"/>
      <c r="UOZ2" s="15"/>
      <c r="UPA2" s="15"/>
      <c r="UPB2" s="15"/>
      <c r="UPC2" s="15"/>
      <c r="UPD2" s="15"/>
      <c r="UPE2" s="15"/>
      <c r="UPF2" s="15"/>
      <c r="UPG2" s="15"/>
      <c r="UPH2" s="15"/>
      <c r="UPI2" s="15"/>
      <c r="UPJ2" s="15"/>
      <c r="UPK2" s="15"/>
      <c r="UPL2" s="15"/>
      <c r="UPM2" s="15"/>
      <c r="UPN2" s="15"/>
      <c r="UPO2" s="15"/>
      <c r="UPP2" s="15"/>
      <c r="UPQ2" s="15"/>
      <c r="UPR2" s="15"/>
      <c r="UPS2" s="15"/>
      <c r="UPT2" s="15"/>
      <c r="UPU2" s="15"/>
      <c r="UPV2" s="15"/>
      <c r="UPW2" s="15"/>
      <c r="UPX2" s="15"/>
      <c r="UPY2" s="15"/>
      <c r="UPZ2" s="15"/>
      <c r="UQA2" s="15"/>
      <c r="UQB2" s="15"/>
      <c r="UQC2" s="15"/>
      <c r="UQD2" s="15"/>
      <c r="UQE2" s="15"/>
      <c r="UQF2" s="15"/>
      <c r="UQG2" s="15"/>
      <c r="UQH2" s="15"/>
      <c r="UQI2" s="15"/>
      <c r="UQJ2" s="15"/>
      <c r="UQK2" s="15"/>
      <c r="UQL2" s="15"/>
      <c r="UQM2" s="15"/>
      <c r="UQN2" s="15"/>
      <c r="UQO2" s="15"/>
      <c r="UQP2" s="15"/>
      <c r="UQQ2" s="15"/>
      <c r="UQR2" s="15"/>
      <c r="UQS2" s="15"/>
      <c r="UQT2" s="15"/>
      <c r="UQU2" s="15"/>
      <c r="UQV2" s="15"/>
      <c r="UQW2" s="15"/>
      <c r="UQX2" s="15"/>
      <c r="UQY2" s="15"/>
      <c r="UQZ2" s="15"/>
      <c r="URA2" s="15"/>
      <c r="URB2" s="15"/>
      <c r="URC2" s="15"/>
      <c r="URD2" s="15"/>
      <c r="URE2" s="15"/>
      <c r="URF2" s="15"/>
      <c r="URG2" s="15"/>
      <c r="URH2" s="15"/>
      <c r="URI2" s="15"/>
      <c r="URJ2" s="15"/>
      <c r="URK2" s="15"/>
      <c r="URL2" s="15"/>
      <c r="URM2" s="15"/>
      <c r="URN2" s="15"/>
      <c r="URO2" s="15"/>
      <c r="URP2" s="15"/>
      <c r="URQ2" s="15"/>
      <c r="URR2" s="15"/>
      <c r="URS2" s="15"/>
      <c r="URT2" s="15"/>
      <c r="URU2" s="15"/>
      <c r="URV2" s="15"/>
      <c r="URW2" s="15"/>
      <c r="URX2" s="15"/>
      <c r="URY2" s="15"/>
      <c r="URZ2" s="15"/>
      <c r="USA2" s="15"/>
      <c r="USB2" s="15"/>
      <c r="USC2" s="15"/>
      <c r="USD2" s="15"/>
      <c r="USE2" s="15"/>
      <c r="USF2" s="15"/>
      <c r="USG2" s="15"/>
      <c r="USH2" s="15"/>
      <c r="USI2" s="15"/>
      <c r="USJ2" s="15"/>
      <c r="USK2" s="15"/>
      <c r="USL2" s="15"/>
      <c r="USM2" s="15"/>
      <c r="USN2" s="15"/>
      <c r="USO2" s="15"/>
      <c r="USP2" s="15"/>
      <c r="USQ2" s="15"/>
      <c r="USR2" s="15"/>
      <c r="USS2" s="15"/>
      <c r="UST2" s="15"/>
      <c r="USU2" s="15"/>
      <c r="USV2" s="15"/>
      <c r="USW2" s="15"/>
      <c r="USX2" s="15"/>
      <c r="USY2" s="15"/>
      <c r="USZ2" s="15"/>
      <c r="UTA2" s="15"/>
      <c r="UTB2" s="15"/>
      <c r="UTC2" s="15"/>
      <c r="UTD2" s="15"/>
      <c r="UTE2" s="15"/>
      <c r="UTF2" s="15"/>
      <c r="UTG2" s="15"/>
      <c r="UTH2" s="15"/>
      <c r="UTI2" s="15"/>
      <c r="UTJ2" s="15"/>
      <c r="UTK2" s="15"/>
      <c r="UTL2" s="15"/>
      <c r="UTM2" s="15"/>
      <c r="UTN2" s="15"/>
      <c r="UTO2" s="15"/>
      <c r="UTP2" s="15"/>
      <c r="UTQ2" s="15"/>
      <c r="UTR2" s="15"/>
      <c r="UTS2" s="15"/>
      <c r="UTT2" s="15"/>
      <c r="UTU2" s="15"/>
      <c r="UTV2" s="15"/>
      <c r="UTW2" s="15"/>
      <c r="UTX2" s="15"/>
      <c r="UTY2" s="15"/>
      <c r="UTZ2" s="15"/>
      <c r="UUA2" s="15"/>
      <c r="UUB2" s="15"/>
      <c r="UUC2" s="15"/>
      <c r="UUD2" s="15"/>
      <c r="UUE2" s="15"/>
      <c r="UUF2" s="15"/>
      <c r="UUG2" s="15"/>
      <c r="UUH2" s="15"/>
      <c r="UUI2" s="15"/>
      <c r="UUJ2" s="15"/>
      <c r="UUK2" s="15"/>
      <c r="UUL2" s="15"/>
      <c r="UUM2" s="15"/>
      <c r="UUN2" s="15"/>
      <c r="UUO2" s="15"/>
      <c r="UUP2" s="15"/>
      <c r="UUQ2" s="15"/>
      <c r="UUR2" s="15"/>
      <c r="UUS2" s="15"/>
      <c r="UUT2" s="15"/>
      <c r="UUU2" s="15"/>
      <c r="UUV2" s="15"/>
      <c r="UUW2" s="15"/>
      <c r="UUX2" s="15"/>
      <c r="UUY2" s="15"/>
      <c r="UUZ2" s="15"/>
      <c r="UVA2" s="15"/>
      <c r="UVB2" s="15"/>
      <c r="UVC2" s="15"/>
      <c r="UVD2" s="15"/>
      <c r="UVE2" s="15"/>
      <c r="UVF2" s="15"/>
      <c r="UVG2" s="15"/>
      <c r="UVH2" s="15"/>
      <c r="UVI2" s="15"/>
      <c r="UVJ2" s="15"/>
      <c r="UVK2" s="15"/>
      <c r="UVL2" s="15"/>
      <c r="UVM2" s="15"/>
      <c r="UVN2" s="15"/>
      <c r="UVO2" s="15"/>
      <c r="UVP2" s="15"/>
      <c r="UVQ2" s="15"/>
      <c r="UVR2" s="15"/>
      <c r="UVS2" s="15"/>
      <c r="UVT2" s="15"/>
      <c r="UVU2" s="15"/>
      <c r="UVV2" s="15"/>
      <c r="UVW2" s="15"/>
      <c r="UVX2" s="15"/>
      <c r="UVY2" s="15"/>
      <c r="UVZ2" s="15"/>
      <c r="UWA2" s="15"/>
      <c r="UWB2" s="15"/>
      <c r="UWC2" s="15"/>
      <c r="UWD2" s="15"/>
      <c r="UWE2" s="15"/>
      <c r="UWF2" s="15"/>
      <c r="UWG2" s="15"/>
      <c r="UWH2" s="15"/>
      <c r="UWI2" s="15"/>
      <c r="UWJ2" s="15"/>
      <c r="UWK2" s="15"/>
      <c r="UWL2" s="15"/>
      <c r="UWM2" s="15"/>
      <c r="UWN2" s="15"/>
      <c r="UWO2" s="15"/>
      <c r="UWP2" s="15"/>
      <c r="UWQ2" s="15"/>
      <c r="UWR2" s="15"/>
      <c r="UWS2" s="15"/>
      <c r="UWT2" s="15"/>
      <c r="UWU2" s="15"/>
      <c r="UWV2" s="15"/>
      <c r="UWW2" s="15"/>
      <c r="UWX2" s="15"/>
      <c r="UWY2" s="15"/>
      <c r="UWZ2" s="15"/>
      <c r="UXA2" s="15"/>
      <c r="UXB2" s="15"/>
      <c r="UXC2" s="15"/>
      <c r="UXD2" s="15"/>
      <c r="UXE2" s="15"/>
      <c r="UXF2" s="15"/>
      <c r="UXG2" s="15"/>
      <c r="UXH2" s="15"/>
      <c r="UXI2" s="15"/>
      <c r="UXJ2" s="15"/>
      <c r="UXK2" s="15"/>
      <c r="UXL2" s="15"/>
      <c r="UXM2" s="15"/>
      <c r="UXN2" s="15"/>
      <c r="UXO2" s="15"/>
      <c r="UXP2" s="15"/>
      <c r="UXQ2" s="15"/>
      <c r="UXR2" s="15"/>
      <c r="UXS2" s="15"/>
      <c r="UXT2" s="15"/>
      <c r="UXU2" s="15"/>
      <c r="UXV2" s="15"/>
      <c r="UXW2" s="15"/>
      <c r="UXX2" s="15"/>
      <c r="UXY2" s="15"/>
      <c r="UXZ2" s="15"/>
      <c r="UYA2" s="15"/>
      <c r="UYB2" s="15"/>
      <c r="UYC2" s="15"/>
      <c r="UYD2" s="15"/>
      <c r="UYE2" s="15"/>
      <c r="UYF2" s="15"/>
      <c r="UYG2" s="15"/>
      <c r="UYH2" s="15"/>
      <c r="UYI2" s="15"/>
      <c r="UYJ2" s="15"/>
      <c r="UYK2" s="15"/>
      <c r="UYL2" s="15"/>
      <c r="UYM2" s="15"/>
      <c r="UYN2" s="15"/>
      <c r="UYO2" s="15"/>
      <c r="UYP2" s="15"/>
      <c r="UYQ2" s="15"/>
      <c r="UYR2" s="15"/>
      <c r="UYS2" s="15"/>
      <c r="UYT2" s="15"/>
      <c r="UYU2" s="15"/>
      <c r="UYV2" s="15"/>
      <c r="UYW2" s="15"/>
      <c r="UYX2" s="15"/>
      <c r="UYY2" s="15"/>
      <c r="UYZ2" s="15"/>
      <c r="UZA2" s="15"/>
      <c r="UZB2" s="15"/>
      <c r="UZC2" s="15"/>
      <c r="UZD2" s="15"/>
      <c r="UZE2" s="15"/>
      <c r="UZF2" s="15"/>
      <c r="UZG2" s="15"/>
      <c r="UZH2" s="15"/>
      <c r="UZI2" s="15"/>
      <c r="UZJ2" s="15"/>
      <c r="UZK2" s="15"/>
      <c r="UZL2" s="15"/>
      <c r="UZM2" s="15"/>
      <c r="UZN2" s="15"/>
      <c r="UZO2" s="15"/>
      <c r="UZP2" s="15"/>
      <c r="UZQ2" s="15"/>
      <c r="UZR2" s="15"/>
      <c r="UZS2" s="15"/>
      <c r="UZT2" s="15"/>
      <c r="UZU2" s="15"/>
      <c r="UZV2" s="15"/>
      <c r="UZW2" s="15"/>
      <c r="UZX2" s="15"/>
      <c r="UZY2" s="15"/>
      <c r="UZZ2" s="15"/>
      <c r="VAA2" s="15"/>
      <c r="VAB2" s="15"/>
      <c r="VAC2" s="15"/>
      <c r="VAD2" s="15"/>
      <c r="VAE2" s="15"/>
      <c r="VAF2" s="15"/>
      <c r="VAG2" s="15"/>
      <c r="VAH2" s="15"/>
      <c r="VAI2" s="15"/>
      <c r="VAJ2" s="15"/>
      <c r="VAK2" s="15"/>
      <c r="VAL2" s="15"/>
      <c r="VAM2" s="15"/>
      <c r="VAN2" s="15"/>
      <c r="VAO2" s="15"/>
      <c r="VAP2" s="15"/>
      <c r="VAQ2" s="15"/>
      <c r="VAR2" s="15"/>
      <c r="VAS2" s="15"/>
      <c r="VAT2" s="15"/>
      <c r="VAU2" s="15"/>
      <c r="VAV2" s="15"/>
      <c r="VAW2" s="15"/>
      <c r="VAX2" s="15"/>
      <c r="VAY2" s="15"/>
      <c r="VAZ2" s="15"/>
      <c r="VBA2" s="15"/>
      <c r="VBB2" s="15"/>
      <c r="VBC2" s="15"/>
      <c r="VBD2" s="15"/>
      <c r="VBE2" s="15"/>
      <c r="VBF2" s="15"/>
      <c r="VBG2" s="15"/>
      <c r="VBH2" s="15"/>
      <c r="VBI2" s="15"/>
      <c r="VBJ2" s="15"/>
      <c r="VBK2" s="15"/>
      <c r="VBL2" s="15"/>
      <c r="VBM2" s="15"/>
      <c r="VBN2" s="15"/>
      <c r="VBO2" s="15"/>
      <c r="VBP2" s="15"/>
      <c r="VBQ2" s="15"/>
      <c r="VBR2" s="15"/>
      <c r="VBS2" s="15"/>
      <c r="VBT2" s="15"/>
      <c r="VBU2" s="15"/>
      <c r="VBV2" s="15"/>
      <c r="VBW2" s="15"/>
      <c r="VBX2" s="15"/>
      <c r="VBY2" s="15"/>
      <c r="VBZ2" s="15"/>
      <c r="VCA2" s="15"/>
      <c r="VCB2" s="15"/>
      <c r="VCC2" s="15"/>
      <c r="VCD2" s="15"/>
      <c r="VCE2" s="15"/>
      <c r="VCF2" s="15"/>
      <c r="VCG2" s="15"/>
      <c r="VCH2" s="15"/>
      <c r="VCI2" s="15"/>
      <c r="VCJ2" s="15"/>
      <c r="VCK2" s="15"/>
      <c r="VCL2" s="15"/>
      <c r="VCM2" s="15"/>
      <c r="VCN2" s="15"/>
      <c r="VCO2" s="15"/>
      <c r="VCP2" s="15"/>
      <c r="VCQ2" s="15"/>
      <c r="VCR2" s="15"/>
      <c r="VCS2" s="15"/>
      <c r="VCT2" s="15"/>
      <c r="VCU2" s="15"/>
      <c r="VCV2" s="15"/>
      <c r="VCW2" s="15"/>
      <c r="VCX2" s="15"/>
      <c r="VCY2" s="15"/>
      <c r="VCZ2" s="15"/>
      <c r="VDA2" s="15"/>
      <c r="VDB2" s="15"/>
      <c r="VDC2" s="15"/>
      <c r="VDD2" s="15"/>
      <c r="VDE2" s="15"/>
      <c r="VDF2" s="15"/>
      <c r="VDG2" s="15"/>
      <c r="VDH2" s="15"/>
      <c r="VDI2" s="15"/>
      <c r="VDJ2" s="15"/>
      <c r="VDK2" s="15"/>
      <c r="VDL2" s="15"/>
      <c r="VDM2" s="15"/>
      <c r="VDN2" s="15"/>
      <c r="VDO2" s="15"/>
      <c r="VDP2" s="15"/>
      <c r="VDQ2" s="15"/>
      <c r="VDR2" s="15"/>
      <c r="VDS2" s="15"/>
      <c r="VDT2" s="15"/>
      <c r="VDU2" s="15"/>
      <c r="VDV2" s="15"/>
      <c r="VDW2" s="15"/>
      <c r="VDX2" s="15"/>
      <c r="VDY2" s="15"/>
      <c r="VDZ2" s="15"/>
      <c r="VEA2" s="15"/>
      <c r="VEB2" s="15"/>
      <c r="VEC2" s="15"/>
      <c r="VED2" s="15"/>
      <c r="VEE2" s="15"/>
      <c r="VEF2" s="15"/>
      <c r="VEG2" s="15"/>
      <c r="VEH2" s="15"/>
      <c r="VEI2" s="15"/>
      <c r="VEJ2" s="15"/>
      <c r="VEK2" s="15"/>
      <c r="VEL2" s="15"/>
      <c r="VEM2" s="15"/>
      <c r="VEN2" s="15"/>
      <c r="VEO2" s="15"/>
      <c r="VEP2" s="15"/>
      <c r="VEQ2" s="15"/>
      <c r="VER2" s="15"/>
      <c r="VES2" s="15"/>
      <c r="VET2" s="15"/>
      <c r="VEU2" s="15"/>
      <c r="VEV2" s="15"/>
      <c r="VEW2" s="15"/>
      <c r="VEX2" s="15"/>
      <c r="VEY2" s="15"/>
      <c r="VEZ2" s="15"/>
      <c r="VFA2" s="15"/>
      <c r="VFB2" s="15"/>
      <c r="VFC2" s="15"/>
      <c r="VFD2" s="15"/>
      <c r="VFE2" s="15"/>
      <c r="VFF2" s="15"/>
      <c r="VFG2" s="15"/>
      <c r="VFH2" s="15"/>
      <c r="VFI2" s="15"/>
      <c r="VFJ2" s="15"/>
      <c r="VFK2" s="15"/>
      <c r="VFL2" s="15"/>
      <c r="VFM2" s="15"/>
      <c r="VFN2" s="15"/>
      <c r="VFO2" s="15"/>
      <c r="VFP2" s="15"/>
      <c r="VFQ2" s="15"/>
      <c r="VFR2" s="15"/>
      <c r="VFS2" s="15"/>
      <c r="VFT2" s="15"/>
      <c r="VFU2" s="15"/>
      <c r="VFV2" s="15"/>
      <c r="VFW2" s="15"/>
      <c r="VFX2" s="15"/>
      <c r="VFY2" s="15"/>
      <c r="VFZ2" s="15"/>
      <c r="VGA2" s="15"/>
      <c r="VGB2" s="15"/>
      <c r="VGC2" s="15"/>
      <c r="VGD2" s="15"/>
      <c r="VGE2" s="15"/>
      <c r="VGF2" s="15"/>
      <c r="VGG2" s="15"/>
      <c r="VGH2" s="15"/>
      <c r="VGI2" s="15"/>
      <c r="VGJ2" s="15"/>
      <c r="VGK2" s="15"/>
      <c r="VGL2" s="15"/>
      <c r="VGM2" s="15"/>
      <c r="VGN2" s="15"/>
      <c r="VGO2" s="15"/>
      <c r="VGP2" s="15"/>
      <c r="VGQ2" s="15"/>
      <c r="VGR2" s="15"/>
      <c r="VGS2" s="15"/>
      <c r="VGT2" s="15"/>
      <c r="VGU2" s="15"/>
      <c r="VGV2" s="15"/>
      <c r="VGW2" s="15"/>
      <c r="VGX2" s="15"/>
      <c r="VGY2" s="15"/>
      <c r="VGZ2" s="15"/>
      <c r="VHA2" s="15"/>
      <c r="VHB2" s="15"/>
      <c r="VHC2" s="15"/>
      <c r="VHD2" s="15"/>
      <c r="VHE2" s="15"/>
      <c r="VHF2" s="15"/>
      <c r="VHG2" s="15"/>
      <c r="VHH2" s="15"/>
      <c r="VHI2" s="15"/>
      <c r="VHJ2" s="15"/>
      <c r="VHK2" s="15"/>
      <c r="VHL2" s="15"/>
      <c r="VHM2" s="15"/>
      <c r="VHN2" s="15"/>
      <c r="VHO2" s="15"/>
      <c r="VHP2" s="15"/>
      <c r="VHQ2" s="15"/>
      <c r="VHR2" s="15"/>
      <c r="VHS2" s="15"/>
      <c r="VHT2" s="15"/>
      <c r="VHU2" s="15"/>
      <c r="VHV2" s="15"/>
      <c r="VHW2" s="15"/>
      <c r="VHX2" s="15"/>
      <c r="VHY2" s="15"/>
      <c r="VHZ2" s="15"/>
      <c r="VIA2" s="15"/>
      <c r="VIB2" s="15"/>
      <c r="VIC2" s="15"/>
      <c r="VID2" s="15"/>
      <c r="VIE2" s="15"/>
      <c r="VIF2" s="15"/>
      <c r="VIG2" s="15"/>
      <c r="VIH2" s="15"/>
      <c r="VII2" s="15"/>
      <c r="VIJ2" s="15"/>
      <c r="VIK2" s="15"/>
      <c r="VIL2" s="15"/>
      <c r="VIM2" s="15"/>
      <c r="VIN2" s="15"/>
      <c r="VIO2" s="15"/>
      <c r="VIP2" s="15"/>
      <c r="VIQ2" s="15"/>
      <c r="VIR2" s="15"/>
      <c r="VIS2" s="15"/>
      <c r="VIT2" s="15"/>
      <c r="VIU2" s="15"/>
      <c r="VIV2" s="15"/>
      <c r="VIW2" s="15"/>
      <c r="VIX2" s="15"/>
      <c r="VIY2" s="15"/>
      <c r="VIZ2" s="15"/>
      <c r="VJA2" s="15"/>
      <c r="VJB2" s="15"/>
      <c r="VJC2" s="15"/>
      <c r="VJD2" s="15"/>
      <c r="VJE2" s="15"/>
      <c r="VJF2" s="15"/>
      <c r="VJG2" s="15"/>
      <c r="VJH2" s="15"/>
      <c r="VJI2" s="15"/>
      <c r="VJJ2" s="15"/>
      <c r="VJK2" s="15"/>
      <c r="VJL2" s="15"/>
      <c r="VJM2" s="15"/>
      <c r="VJN2" s="15"/>
      <c r="VJO2" s="15"/>
      <c r="VJP2" s="15"/>
      <c r="VJQ2" s="15"/>
      <c r="VJR2" s="15"/>
      <c r="VJS2" s="15"/>
      <c r="VJT2" s="15"/>
      <c r="VJU2" s="15"/>
      <c r="VJV2" s="15"/>
      <c r="VJW2" s="15"/>
      <c r="VJX2" s="15"/>
      <c r="VJY2" s="15"/>
      <c r="VJZ2" s="15"/>
      <c r="VKA2" s="15"/>
      <c r="VKB2" s="15"/>
      <c r="VKC2" s="15"/>
      <c r="VKD2" s="15"/>
      <c r="VKE2" s="15"/>
      <c r="VKF2" s="15"/>
      <c r="VKG2" s="15"/>
      <c r="VKH2" s="15"/>
      <c r="VKI2" s="15"/>
      <c r="VKJ2" s="15"/>
      <c r="VKK2" s="15"/>
      <c r="VKL2" s="15"/>
      <c r="VKM2" s="15"/>
      <c r="VKN2" s="15"/>
      <c r="VKO2" s="15"/>
      <c r="VKP2" s="15"/>
      <c r="VKQ2" s="15"/>
      <c r="VKR2" s="15"/>
      <c r="VKS2" s="15"/>
      <c r="VKT2" s="15"/>
      <c r="VKU2" s="15"/>
      <c r="VKV2" s="15"/>
      <c r="VKW2" s="15"/>
      <c r="VKX2" s="15"/>
      <c r="VKY2" s="15"/>
      <c r="VKZ2" s="15"/>
      <c r="VLA2" s="15"/>
      <c r="VLB2" s="15"/>
      <c r="VLC2" s="15"/>
      <c r="VLD2" s="15"/>
      <c r="VLE2" s="15"/>
      <c r="VLF2" s="15"/>
      <c r="VLG2" s="15"/>
      <c r="VLH2" s="15"/>
      <c r="VLI2" s="15"/>
      <c r="VLJ2" s="15"/>
      <c r="VLK2" s="15"/>
      <c r="VLL2" s="15"/>
      <c r="VLM2" s="15"/>
      <c r="VLN2" s="15"/>
      <c r="VLO2" s="15"/>
      <c r="VLP2" s="15"/>
      <c r="VLQ2" s="15"/>
      <c r="VLR2" s="15"/>
      <c r="VLS2" s="15"/>
      <c r="VLT2" s="15"/>
      <c r="VLU2" s="15"/>
      <c r="VLV2" s="15"/>
      <c r="VLW2" s="15"/>
      <c r="VLX2" s="15"/>
      <c r="VLY2" s="15"/>
      <c r="VLZ2" s="15"/>
      <c r="VMA2" s="15"/>
      <c r="VMB2" s="15"/>
      <c r="VMC2" s="15"/>
      <c r="VMD2" s="15"/>
      <c r="VME2" s="15"/>
      <c r="VMF2" s="15"/>
      <c r="VMG2" s="15"/>
      <c r="VMH2" s="15"/>
      <c r="VMI2" s="15"/>
      <c r="VMJ2" s="15"/>
      <c r="VMK2" s="15"/>
      <c r="VML2" s="15"/>
      <c r="VMM2" s="15"/>
      <c r="VMN2" s="15"/>
      <c r="VMO2" s="15"/>
      <c r="VMP2" s="15"/>
      <c r="VMQ2" s="15"/>
      <c r="VMR2" s="15"/>
      <c r="VMS2" s="15"/>
      <c r="VMT2" s="15"/>
      <c r="VMU2" s="15"/>
      <c r="VMV2" s="15"/>
      <c r="VMW2" s="15"/>
      <c r="VMX2" s="15"/>
      <c r="VMY2" s="15"/>
      <c r="VMZ2" s="15"/>
      <c r="VNA2" s="15"/>
      <c r="VNB2" s="15"/>
      <c r="VNC2" s="15"/>
      <c r="VND2" s="15"/>
      <c r="VNE2" s="15"/>
      <c r="VNF2" s="15"/>
      <c r="VNG2" s="15"/>
      <c r="VNH2" s="15"/>
      <c r="VNI2" s="15"/>
      <c r="VNJ2" s="15"/>
      <c r="VNK2" s="15"/>
      <c r="VNL2" s="15"/>
      <c r="VNM2" s="15"/>
      <c r="VNN2" s="15"/>
      <c r="VNO2" s="15"/>
      <c r="VNP2" s="15"/>
      <c r="VNQ2" s="15"/>
      <c r="VNR2" s="15"/>
      <c r="VNS2" s="15"/>
      <c r="VNT2" s="15"/>
      <c r="VNU2" s="15"/>
      <c r="VNV2" s="15"/>
      <c r="VNW2" s="15"/>
      <c r="VNX2" s="15"/>
      <c r="VNY2" s="15"/>
      <c r="VNZ2" s="15"/>
      <c r="VOA2" s="15"/>
      <c r="VOB2" s="15"/>
      <c r="VOC2" s="15"/>
      <c r="VOD2" s="15"/>
      <c r="VOE2" s="15"/>
      <c r="VOF2" s="15"/>
      <c r="VOG2" s="15"/>
      <c r="VOH2" s="15"/>
      <c r="VOI2" s="15"/>
      <c r="VOJ2" s="15"/>
      <c r="VOK2" s="15"/>
      <c r="VOL2" s="15"/>
      <c r="VOM2" s="15"/>
      <c r="VON2" s="15"/>
      <c r="VOO2" s="15"/>
      <c r="VOP2" s="15"/>
      <c r="VOQ2" s="15"/>
      <c r="VOR2" s="15"/>
      <c r="VOS2" s="15"/>
      <c r="VOT2" s="15"/>
      <c r="VOU2" s="15"/>
      <c r="VOV2" s="15"/>
      <c r="VOW2" s="15"/>
      <c r="VOX2" s="15"/>
      <c r="VOY2" s="15"/>
      <c r="VOZ2" s="15"/>
      <c r="VPA2" s="15"/>
      <c r="VPB2" s="15"/>
      <c r="VPC2" s="15"/>
      <c r="VPD2" s="15"/>
      <c r="VPE2" s="15"/>
      <c r="VPF2" s="15"/>
      <c r="VPG2" s="15"/>
      <c r="VPH2" s="15"/>
      <c r="VPI2" s="15"/>
      <c r="VPJ2" s="15"/>
      <c r="VPK2" s="15"/>
      <c r="VPL2" s="15"/>
      <c r="VPM2" s="15"/>
      <c r="VPN2" s="15"/>
      <c r="VPO2" s="15"/>
      <c r="VPP2" s="15"/>
      <c r="VPQ2" s="15"/>
      <c r="VPR2" s="15"/>
      <c r="VPS2" s="15"/>
      <c r="VPT2" s="15"/>
      <c r="VPU2" s="15"/>
      <c r="VPV2" s="15"/>
      <c r="VPW2" s="15"/>
      <c r="VPX2" s="15"/>
      <c r="VPY2" s="15"/>
      <c r="VPZ2" s="15"/>
      <c r="VQA2" s="15"/>
      <c r="VQB2" s="15"/>
      <c r="VQC2" s="15"/>
      <c r="VQD2" s="15"/>
      <c r="VQE2" s="15"/>
      <c r="VQF2" s="15"/>
      <c r="VQG2" s="15"/>
      <c r="VQH2" s="15"/>
      <c r="VQI2" s="15"/>
      <c r="VQJ2" s="15"/>
      <c r="VQK2" s="15"/>
      <c r="VQL2" s="15"/>
      <c r="VQM2" s="15"/>
      <c r="VQN2" s="15"/>
      <c r="VQO2" s="15"/>
      <c r="VQP2" s="15"/>
      <c r="VQQ2" s="15"/>
      <c r="VQR2" s="15"/>
      <c r="VQS2" s="15"/>
      <c r="VQT2" s="15"/>
      <c r="VQU2" s="15"/>
      <c r="VQV2" s="15"/>
      <c r="VQW2" s="15"/>
      <c r="VQX2" s="15"/>
      <c r="VQY2" s="15"/>
      <c r="VQZ2" s="15"/>
      <c r="VRA2" s="15"/>
      <c r="VRB2" s="15"/>
      <c r="VRC2" s="15"/>
      <c r="VRD2" s="15"/>
      <c r="VRE2" s="15"/>
      <c r="VRF2" s="15"/>
      <c r="VRG2" s="15"/>
      <c r="VRH2" s="15"/>
      <c r="VRI2" s="15"/>
      <c r="VRJ2" s="15"/>
      <c r="VRK2" s="15"/>
      <c r="VRL2" s="15"/>
      <c r="VRM2" s="15"/>
      <c r="VRN2" s="15"/>
      <c r="VRO2" s="15"/>
      <c r="VRP2" s="15"/>
      <c r="VRQ2" s="15"/>
      <c r="VRR2" s="15"/>
      <c r="VRS2" s="15"/>
      <c r="VRT2" s="15"/>
      <c r="VRU2" s="15"/>
      <c r="VRV2" s="15"/>
      <c r="VRW2" s="15"/>
      <c r="VRX2" s="15"/>
      <c r="VRY2" s="15"/>
      <c r="VRZ2" s="15"/>
      <c r="VSA2" s="15"/>
      <c r="VSB2" s="15"/>
      <c r="VSC2" s="15"/>
      <c r="VSD2" s="15"/>
      <c r="VSE2" s="15"/>
      <c r="VSF2" s="15"/>
      <c r="VSG2" s="15"/>
      <c r="VSH2" s="15"/>
      <c r="VSI2" s="15"/>
      <c r="VSJ2" s="15"/>
      <c r="VSK2" s="15"/>
      <c r="VSL2" s="15"/>
      <c r="VSM2" s="15"/>
      <c r="VSN2" s="15"/>
      <c r="VSO2" s="15"/>
      <c r="VSP2" s="15"/>
      <c r="VSQ2" s="15"/>
      <c r="VSR2" s="15"/>
      <c r="VSS2" s="15"/>
      <c r="VST2" s="15"/>
      <c r="VSU2" s="15"/>
      <c r="VSV2" s="15"/>
      <c r="VSW2" s="15"/>
      <c r="VSX2" s="15"/>
      <c r="VSY2" s="15"/>
      <c r="VSZ2" s="15"/>
      <c r="VTA2" s="15"/>
      <c r="VTB2" s="15"/>
      <c r="VTC2" s="15"/>
      <c r="VTD2" s="15"/>
      <c r="VTE2" s="15"/>
      <c r="VTF2" s="15"/>
      <c r="VTG2" s="15"/>
      <c r="VTH2" s="15"/>
      <c r="VTI2" s="15"/>
      <c r="VTJ2" s="15"/>
      <c r="VTK2" s="15"/>
      <c r="VTL2" s="15"/>
      <c r="VTM2" s="15"/>
      <c r="VTN2" s="15"/>
      <c r="VTO2" s="15"/>
      <c r="VTP2" s="15"/>
      <c r="VTQ2" s="15"/>
      <c r="VTR2" s="15"/>
      <c r="VTS2" s="15"/>
      <c r="VTT2" s="15"/>
      <c r="VTU2" s="15"/>
      <c r="VTV2" s="15"/>
      <c r="VTW2" s="15"/>
      <c r="VTX2" s="15"/>
      <c r="VTY2" s="15"/>
      <c r="VTZ2" s="15"/>
      <c r="VUA2" s="15"/>
      <c r="VUB2" s="15"/>
      <c r="VUC2" s="15"/>
      <c r="VUD2" s="15"/>
      <c r="VUE2" s="15"/>
      <c r="VUF2" s="15"/>
      <c r="VUG2" s="15"/>
      <c r="VUH2" s="15"/>
      <c r="VUI2" s="15"/>
      <c r="VUJ2" s="15"/>
      <c r="VUK2" s="15"/>
      <c r="VUL2" s="15"/>
      <c r="VUM2" s="15"/>
      <c r="VUN2" s="15"/>
      <c r="VUO2" s="15"/>
      <c r="VUP2" s="15"/>
      <c r="VUQ2" s="15"/>
      <c r="VUR2" s="15"/>
      <c r="VUS2" s="15"/>
      <c r="VUT2" s="15"/>
      <c r="VUU2" s="15"/>
      <c r="VUV2" s="15"/>
      <c r="VUW2" s="15"/>
      <c r="VUX2" s="15"/>
      <c r="VUY2" s="15"/>
      <c r="VUZ2" s="15"/>
      <c r="VVA2" s="15"/>
      <c r="VVB2" s="15"/>
      <c r="VVC2" s="15"/>
      <c r="VVD2" s="15"/>
      <c r="VVE2" s="15"/>
      <c r="VVF2" s="15"/>
      <c r="VVG2" s="15"/>
      <c r="VVH2" s="15"/>
      <c r="VVI2" s="15"/>
      <c r="VVJ2" s="15"/>
      <c r="VVK2" s="15"/>
      <c r="VVL2" s="15"/>
      <c r="VVM2" s="15"/>
      <c r="VVN2" s="15"/>
      <c r="VVO2" s="15"/>
      <c r="VVP2" s="15"/>
      <c r="VVQ2" s="15"/>
      <c r="VVR2" s="15"/>
      <c r="VVS2" s="15"/>
      <c r="VVT2" s="15"/>
      <c r="VVU2" s="15"/>
      <c r="VVV2" s="15"/>
      <c r="VVW2" s="15"/>
      <c r="VVX2" s="15"/>
      <c r="VVY2" s="15"/>
      <c r="VVZ2" s="15"/>
      <c r="VWA2" s="15"/>
      <c r="VWB2" s="15"/>
      <c r="VWC2" s="15"/>
      <c r="VWD2" s="15"/>
      <c r="VWE2" s="15"/>
      <c r="VWF2" s="15"/>
      <c r="VWG2" s="15"/>
      <c r="VWH2" s="15"/>
      <c r="VWI2" s="15"/>
      <c r="VWJ2" s="15"/>
      <c r="VWK2" s="15"/>
      <c r="VWL2" s="15"/>
      <c r="VWM2" s="15"/>
      <c r="VWN2" s="15"/>
      <c r="VWO2" s="15"/>
      <c r="VWP2" s="15"/>
      <c r="VWQ2" s="15"/>
      <c r="VWR2" s="15"/>
      <c r="VWS2" s="15"/>
      <c r="VWT2" s="15"/>
      <c r="VWU2" s="15"/>
      <c r="VWV2" s="15"/>
      <c r="VWW2" s="15"/>
      <c r="VWX2" s="15"/>
      <c r="VWY2" s="15"/>
      <c r="VWZ2" s="15"/>
      <c r="VXA2" s="15"/>
      <c r="VXB2" s="15"/>
      <c r="VXC2" s="15"/>
      <c r="VXD2" s="15"/>
      <c r="VXE2" s="15"/>
      <c r="VXF2" s="15"/>
      <c r="VXG2" s="15"/>
      <c r="VXH2" s="15"/>
      <c r="VXI2" s="15"/>
      <c r="VXJ2" s="15"/>
      <c r="VXK2" s="15"/>
      <c r="VXL2" s="15"/>
      <c r="VXM2" s="15"/>
      <c r="VXN2" s="15"/>
      <c r="VXO2" s="15"/>
      <c r="VXP2" s="15"/>
      <c r="VXQ2" s="15"/>
      <c r="VXR2" s="15"/>
      <c r="VXS2" s="15"/>
      <c r="VXT2" s="15"/>
      <c r="VXU2" s="15"/>
      <c r="VXV2" s="15"/>
      <c r="VXW2" s="15"/>
      <c r="VXX2" s="15"/>
      <c r="VXY2" s="15"/>
      <c r="VXZ2" s="15"/>
      <c r="VYA2" s="15"/>
      <c r="VYB2" s="15"/>
      <c r="VYC2" s="15"/>
      <c r="VYD2" s="15"/>
      <c r="VYE2" s="15"/>
      <c r="VYF2" s="15"/>
      <c r="VYG2" s="15"/>
      <c r="VYH2" s="15"/>
      <c r="VYI2" s="15"/>
      <c r="VYJ2" s="15"/>
      <c r="VYK2" s="15"/>
      <c r="VYL2" s="15"/>
      <c r="VYM2" s="15"/>
      <c r="VYN2" s="15"/>
      <c r="VYO2" s="15"/>
      <c r="VYP2" s="15"/>
      <c r="VYQ2" s="15"/>
      <c r="VYR2" s="15"/>
      <c r="VYS2" s="15"/>
      <c r="VYT2" s="15"/>
      <c r="VYU2" s="15"/>
      <c r="VYV2" s="15"/>
      <c r="VYW2" s="15"/>
      <c r="VYX2" s="15"/>
      <c r="VYY2" s="15"/>
      <c r="VYZ2" s="15"/>
      <c r="VZA2" s="15"/>
      <c r="VZB2" s="15"/>
      <c r="VZC2" s="15"/>
      <c r="VZD2" s="15"/>
      <c r="VZE2" s="15"/>
      <c r="VZF2" s="15"/>
      <c r="VZG2" s="15"/>
      <c r="VZH2" s="15"/>
      <c r="VZI2" s="15"/>
      <c r="VZJ2" s="15"/>
      <c r="VZK2" s="15"/>
      <c r="VZL2" s="15"/>
      <c r="VZM2" s="15"/>
      <c r="VZN2" s="15"/>
      <c r="VZO2" s="15"/>
      <c r="VZP2" s="15"/>
      <c r="VZQ2" s="15"/>
      <c r="VZR2" s="15"/>
      <c r="VZS2" s="15"/>
      <c r="VZT2" s="15"/>
      <c r="VZU2" s="15"/>
      <c r="VZV2" s="15"/>
      <c r="VZW2" s="15"/>
      <c r="VZX2" s="15"/>
      <c r="VZY2" s="15"/>
      <c r="VZZ2" s="15"/>
      <c r="WAA2" s="15"/>
      <c r="WAB2" s="15"/>
      <c r="WAC2" s="15"/>
      <c r="WAD2" s="15"/>
      <c r="WAE2" s="15"/>
      <c r="WAF2" s="15"/>
      <c r="WAG2" s="15"/>
      <c r="WAH2" s="15"/>
      <c r="WAI2" s="15"/>
      <c r="WAJ2" s="15"/>
      <c r="WAK2" s="15"/>
      <c r="WAL2" s="15"/>
      <c r="WAM2" s="15"/>
      <c r="WAN2" s="15"/>
      <c r="WAO2" s="15"/>
      <c r="WAP2" s="15"/>
      <c r="WAQ2" s="15"/>
      <c r="WAR2" s="15"/>
      <c r="WAS2" s="15"/>
      <c r="WAT2" s="15"/>
      <c r="WAU2" s="15"/>
      <c r="WAV2" s="15"/>
      <c r="WAW2" s="15"/>
      <c r="WAX2" s="15"/>
      <c r="WAY2" s="15"/>
      <c r="WAZ2" s="15"/>
      <c r="WBA2" s="15"/>
      <c r="WBB2" s="15"/>
      <c r="WBC2" s="15"/>
      <c r="WBD2" s="15"/>
      <c r="WBE2" s="15"/>
      <c r="WBF2" s="15"/>
      <c r="WBG2" s="15"/>
      <c r="WBH2" s="15"/>
      <c r="WBI2" s="15"/>
      <c r="WBJ2" s="15"/>
      <c r="WBK2" s="15"/>
      <c r="WBL2" s="15"/>
      <c r="WBM2" s="15"/>
      <c r="WBN2" s="15"/>
      <c r="WBO2" s="15"/>
      <c r="WBP2" s="15"/>
      <c r="WBQ2" s="15"/>
      <c r="WBR2" s="15"/>
      <c r="WBS2" s="15"/>
      <c r="WBT2" s="15"/>
      <c r="WBU2" s="15"/>
      <c r="WBV2" s="15"/>
      <c r="WBW2" s="15"/>
      <c r="WBX2" s="15"/>
      <c r="WBY2" s="15"/>
      <c r="WBZ2" s="15"/>
      <c r="WCA2" s="15"/>
      <c r="WCB2" s="15"/>
      <c r="WCC2" s="15"/>
      <c r="WCD2" s="15"/>
      <c r="WCE2" s="15"/>
      <c r="WCF2" s="15"/>
      <c r="WCG2" s="15"/>
      <c r="WCH2" s="15"/>
      <c r="WCI2" s="15"/>
      <c r="WCJ2" s="15"/>
      <c r="WCK2" s="15"/>
      <c r="WCL2" s="15"/>
      <c r="WCM2" s="15"/>
      <c r="WCN2" s="15"/>
      <c r="WCO2" s="15"/>
      <c r="WCP2" s="15"/>
      <c r="WCQ2" s="15"/>
      <c r="WCR2" s="15"/>
      <c r="WCS2" s="15"/>
      <c r="WCT2" s="15"/>
      <c r="WCU2" s="15"/>
      <c r="WCV2" s="15"/>
      <c r="WCW2" s="15"/>
      <c r="WCX2" s="15"/>
      <c r="WCY2" s="15"/>
      <c r="WCZ2" s="15"/>
      <c r="WDA2" s="15"/>
      <c r="WDB2" s="15"/>
      <c r="WDC2" s="15"/>
      <c r="WDD2" s="15"/>
      <c r="WDE2" s="15"/>
      <c r="WDF2" s="15"/>
      <c r="WDG2" s="15"/>
      <c r="WDH2" s="15"/>
      <c r="WDI2" s="15"/>
      <c r="WDJ2" s="15"/>
      <c r="WDK2" s="15"/>
      <c r="WDL2" s="15"/>
      <c r="WDM2" s="15"/>
      <c r="WDN2" s="15"/>
      <c r="WDO2" s="15"/>
      <c r="WDP2" s="15"/>
      <c r="WDQ2" s="15"/>
      <c r="WDR2" s="15"/>
      <c r="WDS2" s="15"/>
      <c r="WDT2" s="15"/>
      <c r="WDU2" s="15"/>
      <c r="WDV2" s="15"/>
      <c r="WDW2" s="15"/>
      <c r="WDX2" s="15"/>
      <c r="WDY2" s="15"/>
      <c r="WDZ2" s="15"/>
      <c r="WEA2" s="15"/>
      <c r="WEB2" s="15"/>
      <c r="WEC2" s="15"/>
      <c r="WED2" s="15"/>
      <c r="WEE2" s="15"/>
      <c r="WEF2" s="15"/>
      <c r="WEG2" s="15"/>
      <c r="WEH2" s="15"/>
      <c r="WEI2" s="15"/>
      <c r="WEJ2" s="15"/>
      <c r="WEK2" s="15"/>
      <c r="WEL2" s="15"/>
      <c r="WEM2" s="15"/>
      <c r="WEN2" s="15"/>
      <c r="WEO2" s="15"/>
      <c r="WEP2" s="15"/>
      <c r="WEQ2" s="15"/>
      <c r="WER2" s="15"/>
      <c r="WES2" s="15"/>
      <c r="WET2" s="15"/>
      <c r="WEU2" s="15"/>
      <c r="WEV2" s="15"/>
      <c r="WEW2" s="15"/>
      <c r="WEX2" s="15"/>
      <c r="WEY2" s="15"/>
      <c r="WEZ2" s="15"/>
      <c r="WFA2" s="15"/>
      <c r="WFB2" s="15"/>
      <c r="WFC2" s="15"/>
      <c r="WFD2" s="15"/>
      <c r="WFE2" s="15"/>
      <c r="WFF2" s="15"/>
      <c r="WFG2" s="15"/>
      <c r="WFH2" s="15"/>
      <c r="WFI2" s="15"/>
      <c r="WFJ2" s="15"/>
      <c r="WFK2" s="15"/>
      <c r="WFL2" s="15"/>
      <c r="WFM2" s="15"/>
      <c r="WFN2" s="15"/>
      <c r="WFO2" s="15"/>
      <c r="WFP2" s="15"/>
      <c r="WFQ2" s="15"/>
      <c r="WFR2" s="15"/>
      <c r="WFS2" s="15"/>
      <c r="WFT2" s="15"/>
      <c r="WFU2" s="15"/>
      <c r="WFV2" s="15"/>
      <c r="WFW2" s="15"/>
      <c r="WFX2" s="15"/>
      <c r="WFY2" s="15"/>
      <c r="WFZ2" s="15"/>
      <c r="WGA2" s="15"/>
      <c r="WGB2" s="15"/>
      <c r="WGC2" s="15"/>
      <c r="WGD2" s="15"/>
      <c r="WGE2" s="15"/>
      <c r="WGF2" s="15"/>
      <c r="WGG2" s="15"/>
      <c r="WGH2" s="15"/>
      <c r="WGI2" s="15"/>
      <c r="WGJ2" s="15"/>
      <c r="WGK2" s="15"/>
      <c r="WGL2" s="15"/>
      <c r="WGM2" s="15"/>
      <c r="WGN2" s="15"/>
      <c r="WGO2" s="15"/>
      <c r="WGP2" s="15"/>
      <c r="WGQ2" s="15"/>
      <c r="WGR2" s="15"/>
      <c r="WGS2" s="15"/>
      <c r="WGT2" s="15"/>
      <c r="WGU2" s="15"/>
      <c r="WGV2" s="15"/>
      <c r="WGW2" s="15"/>
      <c r="WGX2" s="15"/>
      <c r="WGY2" s="15"/>
      <c r="WGZ2" s="15"/>
      <c r="WHA2" s="15"/>
      <c r="WHB2" s="15"/>
      <c r="WHC2" s="15"/>
      <c r="WHD2" s="15"/>
      <c r="WHE2" s="15"/>
      <c r="WHF2" s="15"/>
      <c r="WHG2" s="15"/>
      <c r="WHH2" s="15"/>
      <c r="WHI2" s="15"/>
      <c r="WHJ2" s="15"/>
      <c r="WHK2" s="15"/>
      <c r="WHL2" s="15"/>
      <c r="WHM2" s="15"/>
      <c r="WHN2" s="15"/>
      <c r="WHO2" s="15"/>
      <c r="WHP2" s="15"/>
      <c r="WHQ2" s="15"/>
      <c r="WHR2" s="15"/>
      <c r="WHS2" s="15"/>
      <c r="WHT2" s="15"/>
      <c r="WHU2" s="15"/>
      <c r="WHV2" s="15"/>
      <c r="WHW2" s="15"/>
      <c r="WHX2" s="15"/>
      <c r="WHY2" s="15"/>
      <c r="WHZ2" s="15"/>
      <c r="WIA2" s="15"/>
      <c r="WIB2" s="15"/>
      <c r="WIC2" s="15"/>
      <c r="WID2" s="15"/>
      <c r="WIE2" s="15"/>
      <c r="WIF2" s="15"/>
      <c r="WIG2" s="15"/>
      <c r="WIH2" s="15"/>
      <c r="WII2" s="15"/>
      <c r="WIJ2" s="15"/>
      <c r="WIK2" s="15"/>
      <c r="WIL2" s="15"/>
      <c r="WIM2" s="15"/>
      <c r="WIN2" s="15"/>
      <c r="WIO2" s="15"/>
      <c r="WIP2" s="15"/>
      <c r="WIQ2" s="15"/>
      <c r="WIR2" s="15"/>
      <c r="WIS2" s="15"/>
      <c r="WIT2" s="15"/>
      <c r="WIU2" s="15"/>
      <c r="WIV2" s="15"/>
      <c r="WIW2" s="15"/>
      <c r="WIX2" s="15"/>
      <c r="WIY2" s="15"/>
      <c r="WIZ2" s="15"/>
      <c r="WJA2" s="15"/>
      <c r="WJB2" s="15"/>
      <c r="WJC2" s="15"/>
      <c r="WJD2" s="15"/>
      <c r="WJE2" s="15"/>
      <c r="WJF2" s="15"/>
      <c r="WJG2" s="15"/>
      <c r="WJH2" s="15"/>
      <c r="WJI2" s="15"/>
      <c r="WJJ2" s="15"/>
      <c r="WJK2" s="15"/>
      <c r="WJL2" s="15"/>
      <c r="WJM2" s="15"/>
      <c r="WJN2" s="15"/>
      <c r="WJO2" s="15"/>
      <c r="WJP2" s="15"/>
      <c r="WJQ2" s="15"/>
      <c r="WJR2" s="15"/>
      <c r="WJS2" s="15"/>
      <c r="WJT2" s="15"/>
      <c r="WJU2" s="15"/>
      <c r="WJV2" s="15"/>
      <c r="WJW2" s="15"/>
      <c r="WJX2" s="15"/>
      <c r="WJY2" s="15"/>
      <c r="WJZ2" s="15"/>
      <c r="WKA2" s="15"/>
      <c r="WKB2" s="15"/>
      <c r="WKC2" s="15"/>
      <c r="WKD2" s="15"/>
      <c r="WKE2" s="15"/>
      <c r="WKF2" s="15"/>
      <c r="WKG2" s="15"/>
      <c r="WKH2" s="15"/>
      <c r="WKI2" s="15"/>
      <c r="WKJ2" s="15"/>
      <c r="WKK2" s="15"/>
      <c r="WKL2" s="15"/>
      <c r="WKM2" s="15"/>
      <c r="WKN2" s="15"/>
      <c r="WKO2" s="15"/>
      <c r="WKP2" s="15"/>
      <c r="WKQ2" s="15"/>
      <c r="WKR2" s="15"/>
      <c r="WKS2" s="15"/>
      <c r="WKT2" s="15"/>
      <c r="WKU2" s="15"/>
      <c r="WKV2" s="15"/>
      <c r="WKW2" s="15"/>
      <c r="WKX2" s="15"/>
      <c r="WKY2" s="15"/>
      <c r="WKZ2" s="15"/>
      <c r="WLA2" s="15"/>
      <c r="WLB2" s="15"/>
      <c r="WLC2" s="15"/>
      <c r="WLD2" s="15"/>
      <c r="WLE2" s="15"/>
      <c r="WLF2" s="15"/>
      <c r="WLG2" s="15"/>
      <c r="WLH2" s="15"/>
      <c r="WLI2" s="15"/>
      <c r="WLJ2" s="15"/>
      <c r="WLK2" s="15"/>
      <c r="WLL2" s="15"/>
      <c r="WLM2" s="15"/>
      <c r="WLN2" s="15"/>
      <c r="WLO2" s="15"/>
      <c r="WLP2" s="15"/>
      <c r="WLQ2" s="15"/>
      <c r="WLR2" s="15"/>
      <c r="WLS2" s="15"/>
      <c r="WLT2" s="15"/>
      <c r="WLU2" s="15"/>
      <c r="WLV2" s="15"/>
      <c r="WLW2" s="15"/>
      <c r="WLX2" s="15"/>
      <c r="WLY2" s="15"/>
      <c r="WLZ2" s="15"/>
      <c r="WMA2" s="15"/>
      <c r="WMB2" s="15"/>
      <c r="WMC2" s="15"/>
      <c r="WMD2" s="15"/>
      <c r="WME2" s="15"/>
      <c r="WMF2" s="15"/>
      <c r="WMG2" s="15"/>
      <c r="WMH2" s="15"/>
      <c r="WMI2" s="15"/>
      <c r="WMJ2" s="15"/>
      <c r="WMK2" s="15"/>
      <c r="WML2" s="15"/>
      <c r="WMM2" s="15"/>
      <c r="WMN2" s="15"/>
      <c r="WMO2" s="15"/>
      <c r="WMP2" s="15"/>
      <c r="WMQ2" s="15"/>
      <c r="WMR2" s="15"/>
      <c r="WMS2" s="15"/>
      <c r="WMT2" s="15"/>
      <c r="WMU2" s="15"/>
      <c r="WMV2" s="15"/>
      <c r="WMW2" s="15"/>
      <c r="WMX2" s="15"/>
      <c r="WMY2" s="15"/>
      <c r="WMZ2" s="15"/>
      <c r="WNA2" s="15"/>
      <c r="WNB2" s="15"/>
      <c r="WNC2" s="15"/>
      <c r="WND2" s="15"/>
      <c r="WNE2" s="15"/>
      <c r="WNF2" s="15"/>
      <c r="WNG2" s="15"/>
      <c r="WNH2" s="15"/>
      <c r="WNI2" s="15"/>
      <c r="WNJ2" s="15"/>
      <c r="WNK2" s="15"/>
      <c r="WNL2" s="15"/>
      <c r="WNM2" s="15"/>
      <c r="WNN2" s="15"/>
      <c r="WNO2" s="15"/>
      <c r="WNP2" s="15"/>
      <c r="WNQ2" s="15"/>
      <c r="WNR2" s="15"/>
      <c r="WNS2" s="15"/>
      <c r="WNT2" s="15"/>
      <c r="WNU2" s="15"/>
      <c r="WNV2" s="15"/>
      <c r="WNW2" s="15"/>
      <c r="WNX2" s="15"/>
      <c r="WNY2" s="15"/>
      <c r="WNZ2" s="15"/>
      <c r="WOA2" s="15"/>
      <c r="WOB2" s="15"/>
      <c r="WOC2" s="15"/>
      <c r="WOD2" s="15"/>
      <c r="WOE2" s="15"/>
      <c r="WOF2" s="15"/>
      <c r="WOG2" s="15"/>
      <c r="WOH2" s="15"/>
      <c r="WOI2" s="15"/>
      <c r="WOJ2" s="15"/>
      <c r="WOK2" s="15"/>
      <c r="WOL2" s="15"/>
      <c r="WOM2" s="15"/>
      <c r="WON2" s="15"/>
      <c r="WOO2" s="15"/>
      <c r="WOP2" s="15"/>
      <c r="WOQ2" s="15"/>
      <c r="WOR2" s="15"/>
      <c r="WOS2" s="15"/>
      <c r="WOT2" s="15"/>
      <c r="WOU2" s="15"/>
      <c r="WOV2" s="15"/>
      <c r="WOW2" s="15"/>
      <c r="WOX2" s="15"/>
      <c r="WOY2" s="15"/>
      <c r="WOZ2" s="15"/>
      <c r="WPA2" s="15"/>
      <c r="WPB2" s="15"/>
      <c r="WPC2" s="15"/>
      <c r="WPD2" s="15"/>
      <c r="WPE2" s="15"/>
      <c r="WPF2" s="15"/>
      <c r="WPG2" s="15"/>
      <c r="WPH2" s="15"/>
      <c r="WPI2" s="15"/>
      <c r="WPJ2" s="15"/>
      <c r="WPK2" s="15"/>
      <c r="WPL2" s="15"/>
      <c r="WPM2" s="15"/>
      <c r="WPN2" s="15"/>
      <c r="WPO2" s="15"/>
      <c r="WPP2" s="15"/>
      <c r="WPQ2" s="15"/>
      <c r="WPR2" s="15"/>
      <c r="WPS2" s="15"/>
      <c r="WPT2" s="15"/>
      <c r="WPU2" s="15"/>
      <c r="WPV2" s="15"/>
      <c r="WPW2" s="15"/>
      <c r="WPX2" s="15"/>
      <c r="WPY2" s="15"/>
      <c r="WPZ2" s="15"/>
      <c r="WQA2" s="15"/>
      <c r="WQB2" s="15"/>
      <c r="WQC2" s="15"/>
      <c r="WQD2" s="15"/>
      <c r="WQE2" s="15"/>
      <c r="WQF2" s="15"/>
      <c r="WQG2" s="15"/>
      <c r="WQH2" s="15"/>
      <c r="WQI2" s="15"/>
      <c r="WQJ2" s="15"/>
      <c r="WQK2" s="15"/>
      <c r="WQL2" s="15"/>
      <c r="WQM2" s="15"/>
      <c r="WQN2" s="15"/>
      <c r="WQO2" s="15"/>
      <c r="WQP2" s="15"/>
      <c r="WQQ2" s="15"/>
      <c r="WQR2" s="15"/>
      <c r="WQS2" s="15"/>
      <c r="WQT2" s="15"/>
      <c r="WQU2" s="15"/>
      <c r="WQV2" s="15"/>
      <c r="WQW2" s="15"/>
      <c r="WQX2" s="15"/>
      <c r="WQY2" s="15"/>
      <c r="WQZ2" s="15"/>
      <c r="WRA2" s="15"/>
      <c r="WRB2" s="15"/>
      <c r="WRC2" s="15"/>
      <c r="WRD2" s="15"/>
      <c r="WRE2" s="15"/>
      <c r="WRF2" s="15"/>
      <c r="WRG2" s="15"/>
      <c r="WRH2" s="15"/>
      <c r="WRI2" s="15"/>
      <c r="WRJ2" s="15"/>
      <c r="WRK2" s="15"/>
      <c r="WRL2" s="15"/>
      <c r="WRM2" s="15"/>
      <c r="WRN2" s="15"/>
      <c r="WRO2" s="15"/>
      <c r="WRP2" s="15"/>
      <c r="WRQ2" s="15"/>
      <c r="WRR2" s="15"/>
      <c r="WRS2" s="15"/>
      <c r="WRT2" s="15"/>
      <c r="WRU2" s="15"/>
      <c r="WRV2" s="15"/>
      <c r="WRW2" s="15"/>
      <c r="WRX2" s="15"/>
      <c r="WRY2" s="15"/>
      <c r="WRZ2" s="15"/>
      <c r="WSA2" s="15"/>
      <c r="WSB2" s="15"/>
      <c r="WSC2" s="15"/>
      <c r="WSD2" s="15"/>
      <c r="WSE2" s="15"/>
      <c r="WSF2" s="15"/>
      <c r="WSG2" s="15"/>
      <c r="WSH2" s="15"/>
      <c r="WSI2" s="15"/>
      <c r="WSJ2" s="15"/>
      <c r="WSK2" s="15"/>
      <c r="WSL2" s="15"/>
      <c r="WSM2" s="15"/>
      <c r="WSN2" s="15"/>
      <c r="WSO2" s="15"/>
      <c r="WSP2" s="15"/>
      <c r="WSQ2" s="15"/>
      <c r="WSR2" s="15"/>
      <c r="WSS2" s="15"/>
      <c r="WST2" s="15"/>
      <c r="WSU2" s="15"/>
      <c r="WSV2" s="15"/>
      <c r="WSW2" s="15"/>
      <c r="WSX2" s="15"/>
      <c r="WSY2" s="15"/>
      <c r="WSZ2" s="15"/>
      <c r="WTA2" s="15"/>
      <c r="WTB2" s="15"/>
      <c r="WTC2" s="15"/>
      <c r="WTD2" s="15"/>
      <c r="WTE2" s="15"/>
      <c r="WTF2" s="15"/>
      <c r="WTG2" s="15"/>
      <c r="WTH2" s="15"/>
      <c r="WTI2" s="15"/>
      <c r="WTJ2" s="15"/>
      <c r="WTK2" s="15"/>
      <c r="WTL2" s="15"/>
      <c r="WTM2" s="15"/>
      <c r="WTN2" s="15"/>
      <c r="WTO2" s="15"/>
      <c r="WTP2" s="15"/>
      <c r="WTQ2" s="15"/>
      <c r="WTR2" s="15"/>
      <c r="WTS2" s="15"/>
      <c r="WTT2" s="15"/>
      <c r="WTU2" s="15"/>
      <c r="WTV2" s="15"/>
      <c r="WTW2" s="15"/>
      <c r="WTX2" s="15"/>
      <c r="WTY2" s="15"/>
      <c r="WTZ2" s="15"/>
      <c r="WUA2" s="15"/>
      <c r="WUB2" s="15"/>
      <c r="WUC2" s="15"/>
      <c r="WUD2" s="15"/>
      <c r="WUE2" s="15"/>
      <c r="WUF2" s="15"/>
      <c r="WUG2" s="15"/>
      <c r="WUH2" s="15"/>
      <c r="WUI2" s="15"/>
      <c r="WUJ2" s="15"/>
      <c r="WUK2" s="15"/>
      <c r="WUL2" s="15"/>
      <c r="WUM2" s="15"/>
      <c r="WUN2" s="15"/>
      <c r="WUO2" s="15"/>
      <c r="WUP2" s="15"/>
      <c r="WUQ2" s="15"/>
      <c r="WUR2" s="15"/>
      <c r="WUS2" s="15"/>
      <c r="WUT2" s="15"/>
      <c r="WUU2" s="15"/>
      <c r="WUV2" s="15"/>
      <c r="WUW2" s="15"/>
      <c r="WUX2" s="15"/>
      <c r="WUY2" s="15"/>
      <c r="WUZ2" s="15"/>
      <c r="WVA2" s="15"/>
      <c r="WVB2" s="15"/>
      <c r="WVC2" s="15"/>
      <c r="WVD2" s="15"/>
      <c r="WVE2" s="15"/>
      <c r="WVF2" s="15"/>
      <c r="WVG2" s="15"/>
      <c r="WVH2" s="15"/>
      <c r="WVI2" s="15"/>
      <c r="WVJ2" s="15"/>
      <c r="WVK2" s="15"/>
      <c r="WVL2" s="15"/>
      <c r="WVM2" s="15"/>
      <c r="WVN2" s="15"/>
      <c r="WVO2" s="15"/>
      <c r="WVP2" s="15"/>
      <c r="WVQ2" s="15"/>
      <c r="WVR2" s="15"/>
      <c r="WVS2" s="15"/>
      <c r="WVT2" s="15"/>
      <c r="WVU2" s="15"/>
      <c r="WVV2" s="15"/>
      <c r="WVW2" s="15"/>
      <c r="WVX2" s="15"/>
      <c r="WVY2" s="15"/>
      <c r="WVZ2" s="15"/>
      <c r="WWA2" s="15"/>
      <c r="WWB2" s="15"/>
      <c r="WWC2" s="15"/>
      <c r="WWD2" s="15"/>
      <c r="WWE2" s="15"/>
      <c r="WWF2" s="15"/>
      <c r="WWG2" s="15"/>
      <c r="WWH2" s="15"/>
      <c r="WWI2" s="15"/>
      <c r="WWJ2" s="15"/>
      <c r="WWK2" s="15"/>
      <c r="WWL2" s="15"/>
      <c r="WWM2" s="15"/>
      <c r="WWN2" s="15"/>
      <c r="WWO2" s="15"/>
      <c r="WWP2" s="15"/>
      <c r="WWQ2" s="15"/>
      <c r="WWR2" s="15"/>
      <c r="WWS2" s="15"/>
      <c r="WWT2" s="15"/>
      <c r="WWU2" s="15"/>
      <c r="WWV2" s="15"/>
      <c r="WWW2" s="15"/>
      <c r="WWX2" s="15"/>
      <c r="WWY2" s="15"/>
      <c r="WWZ2" s="15"/>
      <c r="WXA2" s="15"/>
      <c r="WXB2" s="15"/>
      <c r="WXC2" s="15"/>
      <c r="WXD2" s="15"/>
      <c r="WXE2" s="15"/>
      <c r="WXF2" s="15"/>
      <c r="WXG2" s="15"/>
      <c r="WXH2" s="15"/>
      <c r="WXI2" s="15"/>
      <c r="WXJ2" s="15"/>
      <c r="WXK2" s="15"/>
      <c r="WXL2" s="15"/>
      <c r="WXM2" s="15"/>
      <c r="WXN2" s="15"/>
      <c r="WXO2" s="15"/>
      <c r="WXP2" s="15"/>
      <c r="WXQ2" s="15"/>
      <c r="WXR2" s="15"/>
      <c r="WXS2" s="15"/>
      <c r="WXT2" s="15"/>
      <c r="WXU2" s="15"/>
      <c r="WXV2" s="15"/>
      <c r="WXW2" s="15"/>
      <c r="WXX2" s="15"/>
      <c r="WXY2" s="15"/>
      <c r="WXZ2" s="15"/>
      <c r="WYA2" s="15"/>
      <c r="WYB2" s="15"/>
      <c r="WYC2" s="15"/>
      <c r="WYD2" s="15"/>
      <c r="WYE2" s="15"/>
      <c r="WYF2" s="15"/>
      <c r="WYG2" s="15"/>
      <c r="WYH2" s="15"/>
      <c r="WYI2" s="15"/>
      <c r="WYJ2" s="15"/>
      <c r="WYK2" s="15"/>
      <c r="WYL2" s="15"/>
      <c r="WYM2" s="15"/>
      <c r="WYN2" s="15"/>
      <c r="WYO2" s="15"/>
      <c r="WYP2" s="15"/>
      <c r="WYQ2" s="15"/>
      <c r="WYR2" s="15"/>
      <c r="WYS2" s="15"/>
      <c r="WYT2" s="15"/>
      <c r="WYU2" s="15"/>
      <c r="WYV2" s="15"/>
      <c r="WYW2" s="15"/>
      <c r="WYX2" s="15"/>
      <c r="WYY2" s="15"/>
      <c r="WYZ2" s="15"/>
      <c r="WZA2" s="15"/>
      <c r="WZB2" s="15"/>
      <c r="WZC2" s="15"/>
      <c r="WZD2" s="15"/>
      <c r="WZE2" s="15"/>
      <c r="WZF2" s="15"/>
      <c r="WZG2" s="15"/>
      <c r="WZH2" s="15"/>
      <c r="WZI2" s="15"/>
      <c r="WZJ2" s="15"/>
      <c r="WZK2" s="15"/>
      <c r="WZL2" s="15"/>
      <c r="WZM2" s="15"/>
      <c r="WZN2" s="15"/>
      <c r="WZO2" s="15"/>
      <c r="WZP2" s="15"/>
      <c r="WZQ2" s="15"/>
      <c r="WZR2" s="15"/>
      <c r="WZS2" s="15"/>
      <c r="WZT2" s="15"/>
      <c r="WZU2" s="15"/>
      <c r="WZV2" s="15"/>
      <c r="WZW2" s="15"/>
      <c r="WZX2" s="15"/>
      <c r="WZY2" s="15"/>
      <c r="WZZ2" s="15"/>
      <c r="XAA2" s="15"/>
      <c r="XAB2" s="15"/>
      <c r="XAC2" s="15"/>
      <c r="XAD2" s="15"/>
      <c r="XAE2" s="15"/>
      <c r="XAF2" s="15"/>
      <c r="XAG2" s="15"/>
      <c r="XAH2" s="15"/>
      <c r="XAI2" s="15"/>
      <c r="XAJ2" s="15"/>
      <c r="XAK2" s="15"/>
      <c r="XAL2" s="15"/>
      <c r="XAM2" s="15"/>
      <c r="XAN2" s="15"/>
      <c r="XAO2" s="15"/>
      <c r="XAP2" s="15"/>
      <c r="XAQ2" s="15"/>
      <c r="XAR2" s="15"/>
      <c r="XAS2" s="15"/>
      <c r="XAT2" s="15"/>
      <c r="XAU2" s="15"/>
      <c r="XAV2" s="15"/>
      <c r="XAW2" s="15"/>
      <c r="XAX2" s="15"/>
      <c r="XAY2" s="15"/>
      <c r="XAZ2" s="15"/>
      <c r="XBA2" s="15"/>
      <c r="XBB2" s="15"/>
      <c r="XBC2" s="15"/>
      <c r="XBD2" s="15"/>
      <c r="XBE2" s="15"/>
      <c r="XBF2" s="15"/>
      <c r="XBG2" s="15"/>
      <c r="XBH2" s="15"/>
      <c r="XBI2" s="15"/>
      <c r="XBJ2" s="15"/>
      <c r="XBK2" s="15"/>
      <c r="XBL2" s="15"/>
      <c r="XBM2" s="15"/>
      <c r="XBN2" s="15"/>
      <c r="XBO2" s="15"/>
      <c r="XBP2" s="15"/>
      <c r="XBQ2" s="15"/>
      <c r="XBR2" s="15"/>
      <c r="XBS2" s="15"/>
      <c r="XBT2" s="15"/>
      <c r="XBU2" s="15"/>
      <c r="XBV2" s="15"/>
      <c r="XBW2" s="15"/>
      <c r="XBX2" s="15"/>
      <c r="XBY2" s="15"/>
      <c r="XBZ2" s="15"/>
      <c r="XCA2" s="15"/>
      <c r="XCB2" s="15"/>
      <c r="XCC2" s="15"/>
      <c r="XCD2" s="15"/>
      <c r="XCE2" s="15"/>
      <c r="XCF2" s="15"/>
      <c r="XCG2" s="15"/>
      <c r="XCH2" s="15"/>
      <c r="XCI2" s="15"/>
      <c r="XCJ2" s="15"/>
      <c r="XCK2" s="15"/>
      <c r="XCL2" s="15"/>
      <c r="XCM2" s="15"/>
      <c r="XCN2" s="15"/>
      <c r="XCO2" s="15"/>
      <c r="XCP2" s="15"/>
      <c r="XCQ2" s="15"/>
      <c r="XCR2" s="15"/>
      <c r="XCS2" s="15"/>
      <c r="XCT2" s="15"/>
      <c r="XCU2" s="15"/>
      <c r="XCV2" s="15"/>
      <c r="XCW2" s="15"/>
      <c r="XCX2" s="15"/>
      <c r="XCY2" s="15"/>
      <c r="XCZ2" s="15"/>
      <c r="XDA2" s="15"/>
      <c r="XDB2" s="15"/>
      <c r="XDC2" s="15"/>
      <c r="XDD2" s="15"/>
      <c r="XDE2" s="15"/>
      <c r="XDF2" s="15"/>
      <c r="XDG2" s="15"/>
      <c r="XDH2" s="15"/>
      <c r="XDI2" s="15"/>
      <c r="XDJ2" s="15"/>
      <c r="XDK2" s="15"/>
      <c r="XDL2" s="15"/>
      <c r="XDM2" s="15"/>
      <c r="XDN2" s="15"/>
      <c r="XDO2" s="15"/>
      <c r="XDP2" s="15"/>
      <c r="XDQ2" s="15"/>
      <c r="XDR2" s="15"/>
      <c r="XDS2" s="15"/>
      <c r="XDT2" s="15"/>
      <c r="XDU2" s="15"/>
      <c r="XDV2" s="15"/>
      <c r="XDW2" s="15"/>
      <c r="XDX2" s="15"/>
      <c r="XDY2" s="15"/>
      <c r="XDZ2" s="15"/>
      <c r="XEA2" s="15"/>
      <c r="XEB2" s="15"/>
      <c r="XEC2" s="15"/>
      <c r="XED2" s="15"/>
      <c r="XEE2" s="15"/>
      <c r="XEF2" s="15"/>
      <c r="XEG2" s="15"/>
      <c r="XEH2" s="15"/>
      <c r="XEI2" s="15"/>
      <c r="XEJ2" s="15"/>
      <c r="XEK2" s="15"/>
      <c r="XEL2" s="15"/>
      <c r="XEM2" s="15"/>
      <c r="XEN2" s="15"/>
      <c r="XEO2" s="15"/>
      <c r="XEP2" s="15"/>
      <c r="XEQ2" s="15"/>
      <c r="XER2" s="15"/>
      <c r="XES2" s="15"/>
      <c r="XET2" s="15"/>
      <c r="XEU2" s="15"/>
      <c r="XEV2" s="15"/>
      <c r="XEW2" s="15"/>
      <c r="XEX2" s="15"/>
      <c r="XEY2" s="15"/>
      <c r="XEZ2" s="15"/>
      <c r="XFA2" s="15"/>
    </row>
    <row r="3" spans="1:16381" s="15" customFormat="1" ht="14.45" customHeight="1" x14ac:dyDescent="0.25">
      <c r="A3" s="16" t="s">
        <v>138</v>
      </c>
      <c r="B3" s="16" t="s">
        <v>88</v>
      </c>
      <c r="C3" s="16">
        <v>1000011324</v>
      </c>
      <c r="D3" s="16" t="s">
        <v>93</v>
      </c>
      <c r="E3" s="11" t="str">
        <f>_xll.BDP(AI3,"ds520")</f>
        <v>Aldar Properties PJSC</v>
      </c>
      <c r="F3" s="11" t="str">
        <f>_xll.BDP(AI3,"crncy")</f>
        <v>USD</v>
      </c>
      <c r="G3" s="34" t="s">
        <v>94</v>
      </c>
      <c r="H3" s="11" t="str">
        <f>IF(_xll.BDP(AI3,"RTG_MOODY")="#N/A N/A","N/A",_xll.BDP(AI3,"RTG_MOODY"))&amp;","&amp;IF(_xll.BDP(AI3,"RTG_FITCH")="#N/A N/A","N/A",_xll.BDP(AI3,"RTG_FITCH"))&amp;","&amp;IF(_xll.BDP(AI3,"RTG_SP")="#N/A N/A","N/A",_xll.BDP(AI3,"RTG_SP"))</f>
        <v>Baa3,N/A,N/A</v>
      </c>
      <c r="I3" s="5">
        <f>_xll.BDP(AI3,"cpn")/100</f>
        <v>6.6226999999999994E-2</v>
      </c>
      <c r="J3" s="5">
        <f ca="1">_xll.BDP($G3&amp;" isin","YAS_BOND_YLD", "YAS_YLD_FLAG=15", "user_local_trade_date",AN3,"Yas_bond_px",$Q3)/100</f>
        <v>6.3792890000000005E-2</v>
      </c>
      <c r="K3" s="11" t="str">
        <f>_xll.BDP(AI3,"PAYMENT_RANK")</f>
        <v>Subordinated</v>
      </c>
      <c r="L3" s="11" t="str">
        <f>IF((TEXT(_xll.BDP(AI3,"MATURITY"),"DD/MM/YYYY")="#N/A Field Not Applicable"),"Perp",TEXT(_xll.BDP(AI3,"MATURITY"),"DD/MM/YYYY"))</f>
        <v>15/04/2055</v>
      </c>
      <c r="M3" s="6">
        <f>(IF(_xll.BDP($AI3&amp;" ISIN","DU003")="#n/a n/a"," ",_xll.BDP($AI3&amp;" ISIN","DU003")))</f>
        <v>5.4910752646840288</v>
      </c>
      <c r="N3" s="11" t="str">
        <f>IF(_xll.BDP(AI3,"CALLABLE")="Y",_xll.BDP(AI3,"NXT_CALL_DT")," ")</f>
        <v>15/01/2032</v>
      </c>
      <c r="O3" s="35">
        <v>1000000</v>
      </c>
      <c r="P3" s="34">
        <v>100.3</v>
      </c>
      <c r="Q3" s="13">
        <f>_xll.BDP(AI3,"px_bid")</f>
        <v>101.32899999999999</v>
      </c>
      <c r="R3" s="7">
        <f>IF(F3="USD",AG3,(((_xll.BDP(F3&amp;"USD CURNCY","PX_LAST")))*AG3))</f>
        <v>1003000</v>
      </c>
      <c r="S3" s="7">
        <f>IF(F3="USD",AH3,(((_xll.BDP(F3&amp;"USD CURNCY","PX_LAST")))*AH3))+AP3</f>
        <v>1028559.0027777777</v>
      </c>
      <c r="T3" s="8">
        <f t="shared" si="0"/>
        <v>10289.999999999964</v>
      </c>
      <c r="U3" s="9">
        <f t="shared" si="1"/>
        <v>1.025922233300096E-2</v>
      </c>
      <c r="V3" s="9" cm="1">
        <f t="array" ref="V3">IFERROR(_xll.BDP($G3&amp;" ISIN","CHG_PCT_1D")/100,"")</f>
        <v>-4.1306277966260633E-3</v>
      </c>
      <c r="W3" s="9" cm="1">
        <f t="array" ref="W3">IFERROR(_xll.BDP($G3&amp;" ISIN","CHG_PCT_5D")/100,"")</f>
        <v>-4.2643129331554714E-3</v>
      </c>
      <c r="X3" s="9" cm="1">
        <f t="array" ref="X3">_xll.BDP($G3&amp;" ISIN","CHG_PCT_1M")/100</f>
        <v>4.9594737320953894E-3</v>
      </c>
      <c r="Y3" s="9" t="e" cm="1">
        <f t="array" ref="Y3">_xll.BDP($G3&amp;" ISIN","CHG_PCT_3M")/100</f>
        <v>#VALUE!</v>
      </c>
      <c r="Z3" s="9" t="e" cm="1">
        <f t="array" ref="Z3">_xll.BDP($G3&amp;" ISIN","CHG_PCT_6M")/100</f>
        <v>#VALUE!</v>
      </c>
      <c r="AA3" s="9" t="e" cm="1">
        <f t="array" ref="AA3">_xll.BDP($G3&amp;" ISIN","CHG_PCT_YTD")/100</f>
        <v>#VALUE!</v>
      </c>
      <c r="AB3" s="9" t="e">
        <f t="shared" si="2"/>
        <v>#DIV/0!</v>
      </c>
      <c r="AC3" s="12">
        <f t="shared" ca="1" si="3"/>
        <v>25559.002777777743</v>
      </c>
      <c r="AD3" s="11" t="str">
        <f>_xll.BDP(AI3,"DS199")</f>
        <v>Financial</v>
      </c>
      <c r="AE3" s="13">
        <f>_xll.BDP(AI3,"px_ask")</f>
        <v>101.91</v>
      </c>
      <c r="AF3" s="12">
        <f>IF(F3="USD",O3,(((_xll.BDP(F3&amp;"USD CURNCY","PX_LAST")))*O3))</f>
        <v>1000000</v>
      </c>
      <c r="AG3" s="7">
        <f t="shared" si="4"/>
        <v>1003000</v>
      </c>
      <c r="AH3" s="7">
        <f t="shared" si="5"/>
        <v>1013290</v>
      </c>
      <c r="AI3" s="11" t="str">
        <f t="shared" si="6"/>
        <v>XS2975294393 ISIN</v>
      </c>
      <c r="AJ3" s="11" t="e" cm="1">
        <f t="array" ref="AJ3">VLOOKUP(IF(NOT(_xll.BDP($G3&amp;" CORP",#REF!)="#N/A N/A"),(_xll.BDP($G3&amp;" CORP",#REF!)),"-"), '[1]Country Codes'!$A$2:$B$253,2,0)</f>
        <v>#REF!</v>
      </c>
      <c r="AK3" s="11" t="str" cm="1">
        <f t="array" ref="AK3">IF(OR(_xll.BDP($AI3,"EX028")= "#N/A N/A", _xll.BDP($AI3,"EX028")="#N/A FIELD NOT APPLICABLE"), " ", _xll.BDP($AI3,"EX028"))</f>
        <v>FixedIncome</v>
      </c>
      <c r="AL3" s="5" t="str">
        <f>(IF(_xll.BDP($AI3&amp;" ISIN","DZ282")="Y","Single line Bonds Cocos","Single line Bonds ex Cocos"))</f>
        <v>Single line Bonds ex Cocos</v>
      </c>
      <c r="AM3" s="6">
        <f>(IF(_xll.BDP($G3&amp;" ISIN","SP153")="#n/a n/a"," ",_xll.BDP($G3&amp;" ISIN","SP153")))</f>
        <v>301.03087409550119</v>
      </c>
      <c r="AN3" s="14">
        <f t="shared" ca="1" si="7"/>
        <v>45755</v>
      </c>
      <c r="AO3" s="7">
        <f>(((_xll.BDP(AI3,"DS032"))/360)*I3)*O3</f>
        <v>15269.002777777776</v>
      </c>
      <c r="AP3" s="7">
        <f>IF(F3="USD",AO3,(((_xll.BDP(F3&amp;"USD CURNCY","PX_LAST")))*AO3))</f>
        <v>15269.002777777776</v>
      </c>
      <c r="AQ3" s="9" t="e">
        <f>S3/#REF!</f>
        <v>#REF!</v>
      </c>
      <c r="AR3" s="7">
        <f t="shared" si="8"/>
        <v>1013290</v>
      </c>
      <c r="AS3" s="13">
        <f>IF((TEXT(_xll.BDP(AI3,"MATURITY"),"DD/MM/YYYY")="#N/A Field Not Applicable"),"Perp",_xll.BDP(AI3,"DS252"))</f>
        <v>30.028747433264886</v>
      </c>
      <c r="AT3" s="5" t="str">
        <f>(IF(_xll.BDP($AI3&amp;" ISIN","DT247")="Y","Yes","No"))</f>
        <v>No</v>
      </c>
      <c r="AU3" s="5" t="str">
        <f>PROPER(IF(OR(_xll.BDP($AI3,"CPN_TYP")="#n/a N/A",_xll.BDP($AI3,"CPN_TYP")= "#N/A FIELD NOT APPLICABLE"), " ", _xll.BDP($AI3,"CPN_TYP")))</f>
        <v>Variable</v>
      </c>
      <c r="BG3" s="27" t="str">
        <f t="shared" si="9"/>
        <v>XS2975294393</v>
      </c>
      <c r="BH3" s="36">
        <v>45672</v>
      </c>
    </row>
    <row r="4" spans="1:16381" s="15" customFormat="1" ht="14.45" customHeight="1" x14ac:dyDescent="0.25">
      <c r="A4" s="16" t="s">
        <v>138</v>
      </c>
      <c r="B4" s="16" t="s">
        <v>119</v>
      </c>
      <c r="C4" s="16">
        <v>1000014769</v>
      </c>
      <c r="D4" s="16" t="s">
        <v>116</v>
      </c>
      <c r="E4" s="11" t="str">
        <f>_xll.BDP(AI4,"ds520")</f>
        <v>Aldar Properties PJSC</v>
      </c>
      <c r="F4" s="11" t="str">
        <f>_xll.BDP(AI4,"crncy")</f>
        <v>USD</v>
      </c>
      <c r="G4" s="34" t="s">
        <v>94</v>
      </c>
      <c r="H4" s="11" t="str">
        <f>IF(_xll.BDP(AI4,"RTG_MOODY")="#N/A N/A","N/A",_xll.BDP(AI4,"RTG_MOODY"))&amp;","&amp;IF(_xll.BDP(AI4,"RTG_FITCH")="#N/A N/A","N/A",_xll.BDP(AI4,"RTG_FITCH"))&amp;","&amp;IF(_xll.BDP(AI4,"RTG_SP")="#N/A N/A","N/A",_xll.BDP(AI4,"RTG_SP"))</f>
        <v>Baa3,N/A,N/A</v>
      </c>
      <c r="I4" s="5">
        <f>_xll.BDP(AI4,"cpn")/100</f>
        <v>6.6226999999999994E-2</v>
      </c>
      <c r="J4" s="5">
        <f ca="1">_xll.BDP($G4&amp;" isin","YAS_BOND_YLD", "YAS_YLD_FLAG=15", "user_local_trade_date",AN4,"Yas_bond_px",$Q4)/100</f>
        <v>6.3792890000000005E-2</v>
      </c>
      <c r="K4" s="11" t="str">
        <f>_xll.BDP(AI4,"PAYMENT_RANK")</f>
        <v>Subordinated</v>
      </c>
      <c r="L4" s="11" t="str">
        <f>IF((TEXT(_xll.BDP(AI4,"MATURITY"),"DD/MM/YYYY")="#N/A Field Not Applicable"),"Perp",TEXT(_xll.BDP(AI4,"MATURITY"),"DD/MM/YYYY"))</f>
        <v>15/04/2055</v>
      </c>
      <c r="M4" s="6">
        <f>(IF(_xll.BDP($AI4&amp;" ISIN","DU003")="#n/a n/a"," ",_xll.BDP($AI4&amp;" ISIN","DU003")))</f>
        <v>5.4910752646840288</v>
      </c>
      <c r="N4" s="11" t="str">
        <f>IF(_xll.BDP(AI4,"CALLABLE")="Y",_xll.BDP(AI4,"NXT_CALL_DT")," ")</f>
        <v>15/01/2032</v>
      </c>
      <c r="O4" s="35">
        <v>1000000</v>
      </c>
      <c r="P4" s="34">
        <v>100.2</v>
      </c>
      <c r="Q4" s="13">
        <f>_xll.BDP(AI4,"px_bid")</f>
        <v>101.32899999999999</v>
      </c>
      <c r="R4" s="7">
        <f>IF(F4="USD",AG4,(((_xll.BDP(F4&amp;"USD CURNCY","PX_LAST")))*AG4))</f>
        <v>1002000</v>
      </c>
      <c r="S4" s="7">
        <f>IF(F4="USD",AH4,(((_xll.BDP(F4&amp;"USD CURNCY","PX_LAST")))*AH4))+AP4</f>
        <v>1028559.0027777777</v>
      </c>
      <c r="T4" s="8">
        <f t="shared" si="0"/>
        <v>11289.999999999907</v>
      </c>
      <c r="U4" s="9">
        <f t="shared" si="1"/>
        <v>1.1267465069860186E-2</v>
      </c>
      <c r="V4" s="9" cm="1">
        <f t="array" ref="V4">IFERROR(_xll.BDP($G4&amp;" ISIN","CHG_PCT_1D")/100,"")</f>
        <v>-4.1306277966260633E-3</v>
      </c>
      <c r="W4" s="9" cm="1">
        <f t="array" ref="W4">IFERROR(_xll.BDP($G4&amp;" ISIN","CHG_PCT_5D")/100,"")</f>
        <v>-4.2643129331554714E-3</v>
      </c>
      <c r="X4" s="9" cm="1">
        <f t="array" ref="X4">_xll.BDP($G4&amp;" ISIN","CHG_PCT_1M")/100</f>
        <v>4.9594737320953894E-3</v>
      </c>
      <c r="Y4" s="9" t="e" cm="1">
        <f t="array" ref="Y4">_xll.BDP($G4&amp;" ISIN","CHG_PCT_3M")/100</f>
        <v>#VALUE!</v>
      </c>
      <c r="Z4" s="9" t="e" cm="1">
        <f t="array" ref="Z4">_xll.BDP($G4&amp;" ISIN","CHG_PCT_6M")/100</f>
        <v>#VALUE!</v>
      </c>
      <c r="AA4" s="9" t="e" cm="1">
        <f t="array" ref="AA4">_xll.BDP($G4&amp;" ISIN","CHG_PCT_YTD")/100</f>
        <v>#VALUE!</v>
      </c>
      <c r="AB4" s="9" t="e">
        <f t="shared" si="2"/>
        <v>#DIV/0!</v>
      </c>
      <c r="AC4" s="12">
        <f t="shared" ca="1" si="3"/>
        <v>26559.002777777685</v>
      </c>
      <c r="AD4" s="11" t="str">
        <f>_xll.BDP(AI4,"DS199")</f>
        <v>Financial</v>
      </c>
      <c r="AE4" s="13">
        <f>_xll.BDP(AI4,"px_ask")</f>
        <v>101.91</v>
      </c>
      <c r="AF4" s="12">
        <f>IF(F4="USD",O4,(((_xll.BDP(F4&amp;"USD CURNCY","PX_LAST")))*O4))</f>
        <v>1000000</v>
      </c>
      <c r="AG4" s="7">
        <f t="shared" si="4"/>
        <v>1002000</v>
      </c>
      <c r="AH4" s="7">
        <f t="shared" si="5"/>
        <v>1013290</v>
      </c>
      <c r="AI4" s="11" t="str">
        <f t="shared" si="6"/>
        <v>XS2975294393 ISIN</v>
      </c>
      <c r="AJ4" s="11" t="e" cm="1">
        <f t="array" ref="AJ4">VLOOKUP(IF(NOT(_xll.BDP($G4&amp;" CORP",#REF!)="#N/A N/A"),(_xll.BDP($G4&amp;" CORP",#REF!)),"-"), '[1]Country Codes'!$A$2:$B$253,2,0)</f>
        <v>#REF!</v>
      </c>
      <c r="AK4" s="11" t="str" cm="1">
        <f t="array" ref="AK4">IF(OR(_xll.BDP($AI4,"EX028")= "#N/A N/A", _xll.BDP($AI4,"EX028")="#N/A FIELD NOT APPLICABLE"), " ", _xll.BDP($AI4,"EX028"))</f>
        <v>FixedIncome</v>
      </c>
      <c r="AL4" s="5" t="str">
        <f>(IF(_xll.BDP($AI4&amp;" ISIN","DZ282")="Y","Single line Bonds Cocos","Single line Bonds ex Cocos"))</f>
        <v>Single line Bonds ex Cocos</v>
      </c>
      <c r="AM4" s="6">
        <f>(IF(_xll.BDP($G4&amp;" ISIN","SP153")="#n/a n/a"," ",_xll.BDP($G4&amp;" ISIN","SP153")))</f>
        <v>301.03087409550119</v>
      </c>
      <c r="AN4" s="14">
        <f t="shared" ca="1" si="7"/>
        <v>45755</v>
      </c>
      <c r="AO4" s="7">
        <f>(((_xll.BDP(AI4,"DS032"))/360)*I4)*O4</f>
        <v>15269.002777777776</v>
      </c>
      <c r="AP4" s="7">
        <f>IF(F4="USD",AO4,(((_xll.BDP(F4&amp;"USD CURNCY","PX_LAST")))*AO4))</f>
        <v>15269.002777777776</v>
      </c>
      <c r="AQ4" s="9" t="e">
        <f>S4/$S$177</f>
        <v>#DIV/0!</v>
      </c>
      <c r="AR4" s="7">
        <f t="shared" si="8"/>
        <v>1013290</v>
      </c>
      <c r="AS4" s="13">
        <f>IF((TEXT(_xll.BDP(AI4,"MATURITY"),"DD/MM/YYYY")="#N/A Field Not Applicable"),"Perp",_xll.BDP(AI4,"DS252"))</f>
        <v>30.028747433264886</v>
      </c>
      <c r="AT4" s="5" t="str">
        <f>(IF(_xll.BDP($AI4&amp;" ISIN","DT247")="Y","Yes","No"))</f>
        <v>No</v>
      </c>
      <c r="AU4" s="5" t="str">
        <f>PROPER(IF(OR(_xll.BDP($AI4,"CPN_TYP")="#n/a N/A",_xll.BDP($AI4,"CPN_TYP")= "#N/A FIELD NOT APPLICABLE"), " ", _xll.BDP($AI4,"CPN_TYP")))</f>
        <v>Variable</v>
      </c>
      <c r="BG4" s="27" t="str">
        <f t="shared" si="9"/>
        <v>XS2975294393</v>
      </c>
      <c r="BH4" s="36">
        <v>45672</v>
      </c>
    </row>
    <row r="5" spans="1:16381" s="15" customFormat="1" ht="14.45" customHeight="1" x14ac:dyDescent="0.25">
      <c r="A5" s="16" t="s">
        <v>138</v>
      </c>
      <c r="B5" s="16" t="s">
        <v>98</v>
      </c>
      <c r="C5" s="16" t="s">
        <v>99</v>
      </c>
      <c r="D5" s="16" t="s">
        <v>100</v>
      </c>
      <c r="E5" s="11" t="str">
        <f>_xll.BDP(AI5,"ds520")</f>
        <v>Aviva PLC</v>
      </c>
      <c r="F5" s="11" t="str">
        <f>_xll.BDP(AI5,"crncy")</f>
        <v>GBP</v>
      </c>
      <c r="G5" s="34" t="s">
        <v>102</v>
      </c>
      <c r="H5" s="11" t="str">
        <f>IF(_xll.BDP(AI5,"RTG_MOODY")="#N/A N/A","N/A",_xll.BDP(AI5,"RTG_MOODY"))&amp;","&amp;IF(_xll.BDP(AI5,"RTG_FITCH")="#N/A N/A","N/A",_xll.BDP(AI5,"RTG_FITCH"))&amp;","&amp;IF(_xll.BDP(AI5,"RTG_SP")="#N/A N/A","N/A",_xll.BDP(AI5,"RTG_SP"))</f>
        <v>A3,BBB+,N/A</v>
      </c>
      <c r="I5" s="5">
        <f>_xll.BDP(AI5,"cpn")/100</f>
        <v>6.1249999999999999E-2</v>
      </c>
      <c r="J5" s="5">
        <f ca="1">_xll.BDP($G5&amp;" isin","YAS_BOND_YLD", "YAS_YLD_FLAG=15", "user_local_trade_date",AN5,"Yas_bond_px",$Q5)/100</f>
        <v>6.6232819999999998E-2</v>
      </c>
      <c r="K5" s="11" t="str">
        <f>_xll.BDP(AI5,"PAYMENT_RANK")</f>
        <v>Subordinated</v>
      </c>
      <c r="L5" s="11" t="str">
        <f>IF((TEXT(_xll.BDP(AI5,"MATURITY"),"DD/MM/YYYY")="#N/A Field Not Applicable"),"Perp",TEXT(_xll.BDP(AI5,"MATURITY"),"DD/MM/YYYY"))</f>
        <v>12/09/2054</v>
      </c>
      <c r="M5" s="6">
        <f>(IF(_xll.BDP($AI5&amp;" ISIN","DU003")="#n/a n/a"," ",_xll.BDP($AI5&amp;" ISIN","DU003")))</f>
        <v>6.9410596998615262</v>
      </c>
      <c r="N5" s="11" t="str">
        <f>IF(_xll.BDP(AI5,"CALLABLE")="Y",_xll.BDP(AI5,"NXT_CALL_DT")," ")</f>
        <v>12/03/2034</v>
      </c>
      <c r="O5" s="35">
        <v>300000</v>
      </c>
      <c r="P5" s="34">
        <v>99.77</v>
      </c>
      <c r="Q5" s="13">
        <f>_xll.BDP(AI5,"px_bid")</f>
        <v>96.646000000000001</v>
      </c>
      <c r="R5" s="7">
        <f>IF(F5="USD",AG5,(((_xll.BDP(F5&amp;"USD CURNCY","PX_LAST")))*AG5))</f>
        <v>382398.45600000001</v>
      </c>
      <c r="S5" s="7">
        <f>IF(F5="USD",AH5,(((_xll.BDP(F5&amp;"USD CURNCY","PX_LAST")))*AH5))+AP5</f>
        <v>372185.48130000004</v>
      </c>
      <c r="T5" s="8">
        <f t="shared" si="0"/>
        <v>-11973.667199999982</v>
      </c>
      <c r="U5" s="9">
        <f t="shared" si="1"/>
        <v>-3.1312017640573273E-2</v>
      </c>
      <c r="V5" s="9" cm="1">
        <f t="array" ref="V5">IFERROR(_xll.BDP($G5&amp;" ISIN","CHG_PCT_1D")/100,"")</f>
        <v>-2.8903220497629718E-3</v>
      </c>
      <c r="W5" s="9" cm="1">
        <f t="array" ref="W5">IFERROR(_xll.BDP($G5&amp;" ISIN","CHG_PCT_5D")/100,"")</f>
        <v>-3.3106454730521969E-3</v>
      </c>
      <c r="X5" s="9" cm="1">
        <f t="array" ref="X5">_xll.BDP($G5&amp;" ISIN","CHG_PCT_1M")/100</f>
        <v>-2.5062354171695275E-2</v>
      </c>
      <c r="Y5" s="9" cm="1">
        <f t="array" ref="Y5">_xll.BDP($G5&amp;" ISIN","CHG_PCT_3M")/100</f>
        <v>-1.4346575022114685E-2</v>
      </c>
      <c r="Z5" s="9" cm="1">
        <f t="array" ref="Z5">_xll.BDP($G5&amp;" ISIN","CHG_PCT_6M")/100</f>
        <v>-2.3461503591252129E-2</v>
      </c>
      <c r="AA5" s="9" cm="1">
        <f t="array" ref="AA5">_xll.BDP($G5&amp;" ISIN","CHG_PCT_YTD")/100</f>
        <v>-1.5287724109909039E-2</v>
      </c>
      <c r="AB5" s="9" t="e">
        <f t="shared" si="2"/>
        <v>#DIV/0!</v>
      </c>
      <c r="AC5" s="12">
        <f t="shared" ca="1" si="3"/>
        <v>1590.1861333333491</v>
      </c>
      <c r="AD5" s="11" t="str">
        <f>_xll.BDP(AI5,"DS199")</f>
        <v>Financial</v>
      </c>
      <c r="AE5" s="13">
        <f>_xll.BDP(AI5,"px_ask")</f>
        <v>97.233000000000004</v>
      </c>
      <c r="AF5" s="12">
        <f>IF(F5="USD",O5,(((_xll.BDP(F5&amp;"USD CURNCY","PX_LAST")))*O5))</f>
        <v>383280</v>
      </c>
      <c r="AG5" s="7">
        <f t="shared" si="4"/>
        <v>299310</v>
      </c>
      <c r="AH5" s="7">
        <f t="shared" si="5"/>
        <v>289938</v>
      </c>
      <c r="AI5" s="11" t="str">
        <f t="shared" si="6"/>
        <v>XS2866204691 ISIN</v>
      </c>
      <c r="AJ5" s="11" t="e" cm="1">
        <f t="array" ref="AJ5">VLOOKUP(IF(NOT(_xll.BDP($G5&amp;" CORP",#REF!)="#N/A N/A"),(_xll.BDP($G5&amp;" CORP",#REF!)),"-"), '[1]Country Codes'!$A$2:$B$253,2,0)</f>
        <v>#REF!</v>
      </c>
      <c r="AK5" s="11" t="str" cm="1">
        <f t="array" ref="AK5">IF(OR(_xll.BDP($AI5,"EX028")= "#N/A N/A", _xll.BDP($AI5,"EX028")="#N/A FIELD NOT APPLICABLE"), " ", _xll.BDP($AI5,"EX028"))</f>
        <v>FixedIncome</v>
      </c>
      <c r="AL5" s="5" t="str">
        <f>(IF(_xll.BDP($AI5&amp;" ISIN","DZ282")="Y","Single line Bonds Cocos","Single line Bonds ex Cocos"))</f>
        <v>Single line Bonds ex Cocos</v>
      </c>
      <c r="AM5" s="6">
        <f>(IF(_xll.BDP($G5&amp;" ISIN","SP153")="#n/a n/a"," ",_xll.BDP($G5&amp;" ISIN","SP153")))</f>
        <v>278.33893438481942</v>
      </c>
      <c r="AN5" s="14">
        <f t="shared" ca="1" si="7"/>
        <v>45755</v>
      </c>
      <c r="AO5" s="7">
        <f>(((_xll.BDP(AI5,"DS032"))/360)*I5)*O5</f>
        <v>1378.125</v>
      </c>
      <c r="AP5" s="7">
        <f>IF(F5="USD",AO5,(((_xll.BDP(F5&amp;"USD CURNCY","PX_LAST")))*AO5))</f>
        <v>1760.6925000000001</v>
      </c>
      <c r="AQ5" s="9" t="e">
        <f>S5/$S$166</f>
        <v>#DIV/0!</v>
      </c>
      <c r="AR5" s="7">
        <f t="shared" si="8"/>
        <v>370424.78880000004</v>
      </c>
      <c r="AS5" s="13">
        <f>IF((TEXT(_xll.BDP(AI5,"MATURITY"),"DD/MM/YYYY")="#N/A Field Not Applicable"),"Perp",_xll.BDP(AI5,"DS252"))</f>
        <v>29.440109514031484</v>
      </c>
      <c r="AT5" s="5" t="str">
        <f>(IF(_xll.BDP($AI5&amp;" ISIN","DT247")="Y","Yes","No"))</f>
        <v>No</v>
      </c>
      <c r="AU5" s="5" t="str">
        <f>PROPER(IF(OR(_xll.BDP($AI5,"CPN_TYP")="#n/a N/A",_xll.BDP($AI5,"CPN_TYP")= "#N/A FIELD NOT APPLICABLE"), " ", _xll.BDP($AI5,"CPN_TYP")))</f>
        <v>Variable</v>
      </c>
      <c r="BG5" s="27" t="str">
        <f t="shared" si="9"/>
        <v>XS2866204691</v>
      </c>
      <c r="BH5" s="36">
        <v>45547</v>
      </c>
    </row>
    <row r="6" spans="1:16381" s="15" customFormat="1" ht="14.45" customHeight="1" x14ac:dyDescent="0.25">
      <c r="A6" s="16" t="s">
        <v>138</v>
      </c>
      <c r="B6" s="16" t="s">
        <v>88</v>
      </c>
      <c r="C6" s="16">
        <v>4371510</v>
      </c>
      <c r="D6" s="16" t="s">
        <v>89</v>
      </c>
      <c r="E6" s="11" t="str">
        <f>_xll.BDP(AI6,"ds520")</f>
        <v>Banque Ouest Africaine de Developpement</v>
      </c>
      <c r="F6" s="11" t="str">
        <f>_xll.BDP(AI6,"crncy")</f>
        <v>USD</v>
      </c>
      <c r="G6" s="34" t="s">
        <v>66</v>
      </c>
      <c r="H6" s="11" t="str">
        <f>IF(_xll.BDP(AI6,"RTG_MOODY")="#N/A N/A","N/A",_xll.BDP(AI6,"RTG_MOODY"))&amp;","&amp;IF(_xll.BDP(AI6,"RTG_FITCH")="#N/A N/A","N/A",_xll.BDP(AI6,"RTG_FITCH"))&amp;","&amp;IF(_xll.BDP(AI6,"RTG_SP")="#N/A N/A","N/A",_xll.BDP(AI6,"RTG_SP"))</f>
        <v>Baa3,N/A,N/A</v>
      </c>
      <c r="I6" s="5">
        <f>_xll.BDP(AI6,"cpn")/100</f>
        <v>8.199999999999999E-2</v>
      </c>
      <c r="J6" s="5">
        <f ca="1">_xll.BDP($G6&amp;" isin","YAS_BOND_YLD", "YAS_YLD_FLAG=15", "user_local_trade_date",AN6,"Yas_bond_px",$Q6)/100</f>
        <v>8.2272800000000007E-2</v>
      </c>
      <c r="K6" s="11" t="str">
        <f>_xll.BDP(AI6,"PAYMENT_RANK")</f>
        <v>Subordinated</v>
      </c>
      <c r="L6" s="11" t="str">
        <f>IF((TEXT(_xll.BDP(AI6,"MATURITY"),"DD/MM/YYYY")="#N/A Field Not Applicable"),"Perp",TEXT(_xll.BDP(AI6,"MATURITY"),"DD/MM/YYYY"))</f>
        <v>13/02/2055</v>
      </c>
      <c r="M6" s="6">
        <f>(IF(_xll.BDP($AI6&amp;" ISIN","DU003")="#n/a n/a"," ",_xll.BDP($AI6&amp;" ISIN","DU003")))</f>
        <v>4.0419339601692332</v>
      </c>
      <c r="N6" s="11" t="str">
        <f>IF(_xll.BDP(AI6,"CALLABLE")="Y",_xll.BDP(AI6,"NXT_CALL_DT")," ")</f>
        <v>13/02/2030</v>
      </c>
      <c r="O6" s="35">
        <v>500000</v>
      </c>
      <c r="P6" s="34">
        <v>98.823999999999998</v>
      </c>
      <c r="Q6" s="13">
        <f>_xll.BDP(AI6,"px_bid")</f>
        <v>99.875</v>
      </c>
      <c r="R6" s="7">
        <f>IF(F6="USD",AG6,(((_xll.BDP(F6&amp;"USD CURNCY","PX_LAST")))*AG6))</f>
        <v>494120</v>
      </c>
      <c r="S6" s="7">
        <f>IF(F6="USD",AH6,(((_xll.BDP(F6&amp;"USD CURNCY","PX_LAST")))*AH6))+AP6</f>
        <v>505866.66666666669</v>
      </c>
      <c r="T6" s="8">
        <f t="shared" si="0"/>
        <v>5255.0000000000091</v>
      </c>
      <c r="U6" s="9">
        <f t="shared" si="1"/>
        <v>1.0635068404436189E-2</v>
      </c>
      <c r="V6" s="9" cm="1">
        <f t="array" ref="V6">IFERROR(_xll.BDP($G6&amp;" ISIN","CHG_PCT_1D")/100,"")</f>
        <v>0</v>
      </c>
      <c r="W6" s="9" t="str" cm="1">
        <f t="array" ref="W6">IFERROR(_xll.BDP($G6&amp;" ISIN","CHG_PCT_5D")/100,"")</f>
        <v/>
      </c>
      <c r="X6" s="9" t="e" cm="1">
        <f t="array" ref="X6">_xll.BDP($G6&amp;" ISIN","CHG_PCT_1M")/100</f>
        <v>#VALUE!</v>
      </c>
      <c r="Y6" s="9" t="e" cm="1">
        <f t="array" ref="Y6">_xll.BDP($G6&amp;" ISIN","CHG_PCT_3M")/100</f>
        <v>#VALUE!</v>
      </c>
      <c r="Z6" s="9" t="e" cm="1">
        <f t="array" ref="Z6">_xll.BDP($G6&amp;" ISIN","CHG_PCT_6M")/100</f>
        <v>#VALUE!</v>
      </c>
      <c r="AA6" s="9" t="e" cm="1">
        <f t="array" ref="AA6">_xll.BDP($G6&amp;" ISIN","CHG_PCT_YTD")/100</f>
        <v>#VALUE!</v>
      </c>
      <c r="AB6" s="9" t="e">
        <f t="shared" si="2"/>
        <v>#DIV/0!</v>
      </c>
      <c r="AC6" s="12">
        <f t="shared" ca="1" si="3"/>
        <v>11405.000000000009</v>
      </c>
      <c r="AD6" s="11" t="str">
        <f>_xll.BDP(AI6,"DS199")</f>
        <v>Government</v>
      </c>
      <c r="AE6" s="13">
        <f>_xll.BDP(AI6,"px_ask")</f>
        <v>99.875</v>
      </c>
      <c r="AF6" s="12">
        <f>IF(F6="USD",O6,(((_xll.BDP(F6&amp;"USD CURNCY","PX_LAST")))*O6))</f>
        <v>500000</v>
      </c>
      <c r="AG6" s="7">
        <f t="shared" si="4"/>
        <v>494120</v>
      </c>
      <c r="AH6" s="7">
        <f t="shared" si="5"/>
        <v>499375</v>
      </c>
      <c r="AI6" s="11" t="str">
        <f t="shared" si="6"/>
        <v>XS3000457666 ISIN</v>
      </c>
      <c r="AJ6" s="11" t="e" cm="1">
        <f t="array" ref="AJ6">VLOOKUP(IF(NOT(_xll.BDP($G6&amp;" CORP",#REF!)="#N/A N/A"),(_xll.BDP($G6&amp;" CORP",#REF!)),"-"), '[1]Country Codes'!$A$2:$B$253,2,0)</f>
        <v>#REF!</v>
      </c>
      <c r="AK6" s="11" t="str" cm="1">
        <f t="array" ref="AK6">IF(OR(_xll.BDP($AI6,"EX028")= "#N/A N/A", _xll.BDP($AI6,"EX028")="#N/A FIELD NOT APPLICABLE"), " ", _xll.BDP($AI6,"EX028"))</f>
        <v>FixedIncome</v>
      </c>
      <c r="AL6" s="5" t="str">
        <f>(IF(_xll.BDP($AI6&amp;" ISIN","DZ282")="Y","Single line Bonds Cocos","Single line Bonds ex Cocos"))</f>
        <v>Single line Bonds ex Cocos</v>
      </c>
      <c r="AM6" s="6">
        <f>(IF(_xll.BDP($G6&amp;" ISIN","SP153")="#n/a n/a"," ",_xll.BDP($G6&amp;" ISIN","SP153")))</f>
        <v>490.30795285653676</v>
      </c>
      <c r="AN6" s="14">
        <f t="shared" ca="1" si="7"/>
        <v>45755</v>
      </c>
      <c r="AO6" s="7">
        <f>(((_xll.BDP(AI6,"DS032"))/360)*I6)*O6</f>
        <v>6491.6666666666652</v>
      </c>
      <c r="AP6" s="7">
        <f>IF(F6="USD",AO6,(((_xll.BDP(F6&amp;"USD CURNCY","PX_LAST")))*AO6))</f>
        <v>6491.6666666666652</v>
      </c>
      <c r="AQ6" s="9" t="e">
        <f>S6/$S$177</f>
        <v>#DIV/0!</v>
      </c>
      <c r="AR6" s="7">
        <f t="shared" si="8"/>
        <v>499375</v>
      </c>
      <c r="AS6" s="13">
        <f>IF((TEXT(_xll.BDP(AI6,"MATURITY"),"DD/MM/YYYY")="#N/A Field Not Applicable"),"Perp",_xll.BDP(AI6,"DS252"))</f>
        <v>29.850787132101299</v>
      </c>
      <c r="AT6" s="5" t="str">
        <f>(IF(_xll.BDP($AI6&amp;" ISIN","DT247")="Y","Yes","No"))</f>
        <v>No</v>
      </c>
      <c r="AU6" s="5" t="str">
        <f>PROPER(IF(OR(_xll.BDP($AI6,"CPN_TYP")="#n/a N/A",_xll.BDP($AI6,"CPN_TYP")= "#N/A FIELD NOT APPLICABLE"), " ", _xll.BDP($AI6,"CPN_TYP")))</f>
        <v>Variable</v>
      </c>
      <c r="BG6" s="27" t="str">
        <f t="shared" si="9"/>
        <v>XS3000457666</v>
      </c>
      <c r="BH6" s="36">
        <v>45701</v>
      </c>
    </row>
    <row r="7" spans="1:16381" s="15" customFormat="1" ht="14.45" customHeight="1" x14ac:dyDescent="0.25">
      <c r="A7" s="16" t="s">
        <v>139</v>
      </c>
      <c r="B7" s="16" t="s">
        <v>111</v>
      </c>
      <c r="C7" s="16">
        <v>4392010</v>
      </c>
      <c r="D7" s="16" t="s">
        <v>104</v>
      </c>
      <c r="E7" s="11" t="str">
        <f>_xll.BDP(AI7,"ds520")</f>
        <v>BAT Capital Corp</v>
      </c>
      <c r="F7" s="11" t="str">
        <f>_xll.BDP(AI7,"crncy")</f>
        <v>USD</v>
      </c>
      <c r="G7" s="34" t="s">
        <v>83</v>
      </c>
      <c r="H7" s="11" t="str">
        <f>IF(_xll.BDP(AI7,"RTG_MOODY")="#N/A N/A","N/A",_xll.BDP(AI7,"RTG_MOODY"))&amp;","&amp;IF(_xll.BDP(AI7,"RTG_FITCH")="#N/A N/A","N/A",_xll.BDP(AI7,"RTG_FITCH"))&amp;","&amp;IF(_xll.BDP(AI7,"RTG_SP")="#N/A N/A","N/A",_xll.BDP(AI7,"RTG_SP"))</f>
        <v>Baa1,BBB+,BBB+</v>
      </c>
      <c r="I7" s="5">
        <f>_xll.BDP(AI7,"cpn")/100</f>
        <v>7.0789999999999992E-2</v>
      </c>
      <c r="J7" s="5">
        <f ca="1">_xll.BDP($G7&amp;" isin","YAS_BOND_YLD", "YAS_YLD_FLAG=15", "user_local_trade_date",AN7,"Yas_bond_px",$Q7)/100</f>
        <v>6.5432530000000003E-2</v>
      </c>
      <c r="K7" s="11" t="str">
        <f>_xll.BDP(AI7,"PAYMENT_RANK")</f>
        <v>Sr Unsecured</v>
      </c>
      <c r="L7" s="11" t="str">
        <f>IF((TEXT(_xll.BDP(AI7,"MATURITY"),"DD/MM/YYYY")="#N/A Field Not Applicable"),"Perp",TEXT(_xll.BDP(AI7,"MATURITY"),"DD/MM/YYYY"))</f>
        <v>02/08/2043</v>
      </c>
      <c r="M7" s="6">
        <f>(IF(_xll.BDP($AI7&amp;" ISIN","DU003")="#n/a n/a"," ",_xll.BDP($AI7&amp;" ISIN","DU003")))</f>
        <v>10.481587591324223</v>
      </c>
      <c r="N7" s="11" t="str">
        <f>IF(_xll.BDP(AI7,"CALLABLE")="Y",_xll.BDP(AI7,"NXT_CALL_DT")," ")</f>
        <v>02/02/2043</v>
      </c>
      <c r="O7" s="35">
        <v>600000</v>
      </c>
      <c r="P7" s="34">
        <v>113.55</v>
      </c>
      <c r="Q7" s="13">
        <f>_xll.BDP(AI7,"px_bid")</f>
        <v>105.574</v>
      </c>
      <c r="R7" s="7">
        <f>IF(F7="USD",AG7,(((_xll.BDP(F7&amp;"USD CURNCY","PX_LAST")))*AG7))</f>
        <v>681300</v>
      </c>
      <c r="S7" s="7">
        <f>IF(F7="USD",AH7,(((_xll.BDP(F7&amp;"USD CURNCY","PX_LAST")))*AH7))+AP7</f>
        <v>641240.59726027399</v>
      </c>
      <c r="T7" s="8">
        <f t="shared" si="0"/>
        <v>-47856</v>
      </c>
      <c r="U7" s="9">
        <f t="shared" si="1"/>
        <v>-7.0242184059885512E-2</v>
      </c>
      <c r="V7" s="9" cm="1">
        <f t="array" ref="V7">IFERROR(_xll.BDP($G7&amp;" ISIN","CHG_PCT_1D")/100,"")</f>
        <v>-3.717625987259254E-3</v>
      </c>
      <c r="W7" s="9" cm="1">
        <f t="array" ref="W7">IFERROR(_xll.BDP($G7&amp;" ISIN","CHG_PCT_5D")/100,"")</f>
        <v>-3.260451576425373E-2</v>
      </c>
      <c r="X7" s="9" cm="1">
        <f t="array" ref="X7">_xll.BDP($G7&amp;" ISIN","CHG_PCT_1M")/100</f>
        <v>-3.5081181890985462E-2</v>
      </c>
      <c r="Y7" s="9" cm="1">
        <f t="array" ref="Y7">_xll.BDP($G7&amp;" ISIN","CHG_PCT_3M")/100</f>
        <v>-4.8260335191330876E-3</v>
      </c>
      <c r="Z7" s="9" cm="1">
        <f t="array" ref="Z7">_xll.BDP($G7&amp;" ISIN","CHG_PCT_6M")/100</f>
        <v>-6.2291546216865411E-2</v>
      </c>
      <c r="AA7" s="9" cm="1">
        <f t="array" ref="AA7">_xll.BDP($G7&amp;" ISIN","CHG_PCT_YTD")/100</f>
        <v>-2.1274118322208456E-2</v>
      </c>
      <c r="AB7" s="9" t="e">
        <f t="shared" si="2"/>
        <v>#DIV/0!</v>
      </c>
      <c r="AC7" s="12">
        <f t="shared" ca="1" si="3"/>
        <v>-33344.050000000003</v>
      </c>
      <c r="AD7" s="11" t="str">
        <f>_xll.BDP(AI7,"DS199")</f>
        <v>Consumer, Non-cyclical</v>
      </c>
      <c r="AE7" s="13">
        <f>_xll.BDP(AI7,"px_ask")</f>
        <v>106.251</v>
      </c>
      <c r="AF7" s="12">
        <f>IF(F7="USD",O7,(((_xll.BDP(F7&amp;"USD CURNCY","PX_LAST")))*O7))</f>
        <v>600000</v>
      </c>
      <c r="AG7" s="7">
        <f t="shared" si="4"/>
        <v>681300</v>
      </c>
      <c r="AH7" s="7">
        <f t="shared" si="5"/>
        <v>633444</v>
      </c>
      <c r="AI7" s="11" t="str">
        <f t="shared" si="6"/>
        <v>US054989AC24 ISIN</v>
      </c>
      <c r="AJ7" s="11" t="e" cm="1">
        <f t="array" ref="AJ7">VLOOKUP(IF(NOT(_xll.BDP($G7&amp;" CORP",#REF!)="#N/A N/A"),(_xll.BDP($G7&amp;" CORP",#REF!)),"-"), '[1]Country Codes'!$A$2:$B$253,2,0)</f>
        <v>#REF!</v>
      </c>
      <c r="AK7" s="11" t="str" cm="1">
        <f t="array" ref="AK7">IF(OR(_xll.BDP($AI7,"EX028")= "#N/A N/A", _xll.BDP($AI7,"EX028")="#N/A FIELD NOT APPLICABLE"), " ", _xll.BDP($AI7,"EX028"))</f>
        <v>FixedIncome</v>
      </c>
      <c r="AL7" s="5" t="str">
        <f>(IF(_xll.BDP($AI7&amp;" ISIN","DZ282")="Y","Single line Bonds Cocos","Single line Bonds ex Cocos"))</f>
        <v>Single line Bonds ex Cocos</v>
      </c>
      <c r="AM7" s="6">
        <f>(IF(_xll.BDP($G7&amp;" ISIN","SP153")="#n/a n/a"," ",_xll.BDP($G7&amp;" ISIN","SP153")))</f>
        <v>267.80779677633666</v>
      </c>
      <c r="AN7" s="14">
        <f t="shared" ca="1" si="7"/>
        <v>45755</v>
      </c>
      <c r="AO7" s="7">
        <f>(((_xll.BDP(AI7,"DS032"))/365)*I7)*O7</f>
        <v>7796.5972602739721</v>
      </c>
      <c r="AP7" s="7">
        <f>IF(F7="USD",AO7,(((_xll.BDP(F7&amp;"USD CURNCY","PX_LAST")))*AO7))</f>
        <v>7796.5972602739721</v>
      </c>
      <c r="AQ7" s="9" t="e">
        <f>S7/$S$180</f>
        <v>#DIV/0!</v>
      </c>
      <c r="AR7" s="7">
        <f t="shared" si="8"/>
        <v>633444</v>
      </c>
      <c r="AS7" s="13">
        <f>IF((TEXT(_xll.BDP(AI7,"MATURITY"),"DD/MM/YYYY")="#N/A Field Not Applicable"),"Perp",_xll.BDP(AI7,"DS252"))</f>
        <v>18.316221765913756</v>
      </c>
      <c r="AT7" s="5" t="str">
        <f>(IF(_xll.BDP($AI7&amp;" ISIN","DT247")="Y","Yes","No"))</f>
        <v>No</v>
      </c>
      <c r="AU7" s="5" t="str">
        <f>PROPER(IF(OR(_xll.BDP($AI7,"CPN_TYP")="#n/a N/A",_xll.BDP($AI7,"CPN_TYP")= "#N/A FIELD NOT APPLICABLE"), " ", _xll.BDP($AI7,"CPN_TYP")))</f>
        <v>Fixed</v>
      </c>
      <c r="BG7" s="27" t="str">
        <f t="shared" si="9"/>
        <v>US054989AC24</v>
      </c>
      <c r="BH7" s="36">
        <v>45632</v>
      </c>
    </row>
    <row r="8" spans="1:16381" s="15" customFormat="1" ht="14.45" customHeight="1" x14ac:dyDescent="0.25">
      <c r="A8" s="16" t="s">
        <v>139</v>
      </c>
      <c r="B8" s="16" t="s">
        <v>111</v>
      </c>
      <c r="C8" s="16">
        <v>4392010</v>
      </c>
      <c r="D8" s="16" t="s">
        <v>104</v>
      </c>
      <c r="E8" s="11" t="str">
        <f>_xll.BDP(AI8,"ds520")</f>
        <v>BAT Capital Corp</v>
      </c>
      <c r="F8" s="11" t="str">
        <f>_xll.BDP(AI8,"crncy")</f>
        <v>USD</v>
      </c>
      <c r="G8" s="34" t="s">
        <v>83</v>
      </c>
      <c r="H8" s="11" t="str">
        <f>IF(_xll.BDP(AI8,"RTG_MOODY")="#N/A N/A","N/A",_xll.BDP(AI8,"RTG_MOODY"))&amp;","&amp;IF(_xll.BDP(AI8,"RTG_FITCH")="#N/A N/A","N/A",_xll.BDP(AI8,"RTG_FITCH"))&amp;","&amp;IF(_xll.BDP(AI8,"RTG_SP")="#N/A N/A","N/A",_xll.BDP(AI8,"RTG_SP"))</f>
        <v>Baa1,BBB+,BBB+</v>
      </c>
      <c r="I8" s="5">
        <f>_xll.BDP(AI8,"cpn")/100</f>
        <v>7.0789999999999992E-2</v>
      </c>
      <c r="J8" s="5">
        <f ca="1">_xll.BDP($G8&amp;" isin","YAS_BOND_YLD", "YAS_YLD_FLAG=15", "user_local_trade_date",AN8,"Yas_bond_px",$Q8)/100</f>
        <v>6.5432530000000003E-2</v>
      </c>
      <c r="K8" s="11" t="str">
        <f>_xll.BDP(AI8,"PAYMENT_RANK")</f>
        <v>Sr Unsecured</v>
      </c>
      <c r="L8" s="11" t="str">
        <f>IF((TEXT(_xll.BDP(AI8,"MATURITY"),"DD/MM/YYYY")="#N/A Field Not Applicable"),"Perp",TEXT(_xll.BDP(AI8,"MATURITY"),"DD/MM/YYYY"))</f>
        <v>02/08/2043</v>
      </c>
      <c r="M8" s="6">
        <f>(IF(_xll.BDP($AI8&amp;" ISIN","DU003")="#n/a n/a"," ",_xll.BDP($AI8&amp;" ISIN","DU003")))</f>
        <v>10.481587591324223</v>
      </c>
      <c r="N8" s="11" t="str">
        <f>IF(_xll.BDP(AI8,"CALLABLE")="Y",_xll.BDP(AI8,"NXT_CALL_DT")," ")</f>
        <v>02/02/2043</v>
      </c>
      <c r="O8" s="35">
        <v>500000</v>
      </c>
      <c r="P8" s="34">
        <v>108.27</v>
      </c>
      <c r="Q8" s="13">
        <f>_xll.BDP(AI8,"px_bid")</f>
        <v>105.574</v>
      </c>
      <c r="R8" s="7">
        <f>IF(F8="USD",AG8,(((_xll.BDP(F8&amp;"USD CURNCY","PX_LAST")))*AG8))</f>
        <v>541350</v>
      </c>
      <c r="S8" s="7">
        <f>IF(F8="USD",AH8,(((_xll.BDP(F8&amp;"USD CURNCY","PX_LAST")))*AH8))+AP8</f>
        <v>534367.1643835617</v>
      </c>
      <c r="T8" s="8">
        <f t="shared" si="0"/>
        <v>-13479.999999999991</v>
      </c>
      <c r="U8" s="9">
        <f t="shared" si="1"/>
        <v>-2.4900711185000445E-2</v>
      </c>
      <c r="V8" s="9" cm="1">
        <f t="array" ref="V8">IFERROR(_xll.BDP($G8&amp;" ISIN","CHG_PCT_1D")/100,"")</f>
        <v>-3.717625987259254E-3</v>
      </c>
      <c r="W8" s="9" cm="1">
        <f t="array" ref="W8">IFERROR(_xll.BDP($G8&amp;" ISIN","CHG_PCT_5D")/100,"")</f>
        <v>-3.260451576425373E-2</v>
      </c>
      <c r="X8" s="9" cm="1">
        <f t="array" ref="X8">_xll.BDP($G8&amp;" ISIN","CHG_PCT_1M")/100</f>
        <v>-3.5081181890985462E-2</v>
      </c>
      <c r="Y8" s="9" cm="1">
        <f t="array" ref="Y8">_xll.BDP($G8&amp;" ISIN","CHG_PCT_3M")/100</f>
        <v>-4.8260335191330876E-3</v>
      </c>
      <c r="Z8" s="9" cm="1">
        <f t="array" ref="Z8">_xll.BDP($G8&amp;" ISIN","CHG_PCT_6M")/100</f>
        <v>-6.2291546216865411E-2</v>
      </c>
      <c r="AA8" s="9" cm="1">
        <f t="array" ref="AA8">_xll.BDP($G8&amp;" ISIN","CHG_PCT_YTD")/100</f>
        <v>-2.1274118322208456E-2</v>
      </c>
      <c r="AB8" s="9" t="e">
        <f t="shared" si="2"/>
        <v>#DIV/0!</v>
      </c>
      <c r="AC8" s="12">
        <f t="shared" ca="1" si="3"/>
        <v>55245.291666666664</v>
      </c>
      <c r="AD8" s="11" t="str">
        <f>_xll.BDP(AI8,"DS199")</f>
        <v>Consumer, Non-cyclical</v>
      </c>
      <c r="AE8" s="13">
        <f>_xll.BDP(AI8,"px_ask")</f>
        <v>106.251</v>
      </c>
      <c r="AF8" s="12">
        <f>IF(F8="USD",O8,(((_xll.BDP(F8&amp;"USD CURNCY","PX_LAST")))*O8))</f>
        <v>500000</v>
      </c>
      <c r="AG8" s="7">
        <f t="shared" si="4"/>
        <v>541350</v>
      </c>
      <c r="AH8" s="7">
        <f t="shared" si="5"/>
        <v>527870</v>
      </c>
      <c r="AI8" s="11" t="str">
        <f t="shared" si="6"/>
        <v>US054989AC24 ISIN</v>
      </c>
      <c r="AJ8" s="11" t="e" cm="1">
        <f t="array" ref="AJ8">VLOOKUP(IF(NOT(_xll.BDP($G8&amp;" CORP",#REF!)="#N/A N/A"),(_xll.BDP($G8&amp;" CORP",#REF!)),"-"), '[1]Country Codes'!$A$2:$B$253,2,0)</f>
        <v>#REF!</v>
      </c>
      <c r="AK8" s="11" t="str" cm="1">
        <f t="array" ref="AK8">IF(OR(_xll.BDP($AI8,"EX028")= "#N/A N/A", _xll.BDP($AI8,"EX028")="#N/A FIELD NOT APPLICABLE"), " ", _xll.BDP($AI8,"EX028"))</f>
        <v>FixedIncome</v>
      </c>
      <c r="AL8" s="5" t="str">
        <f>(IF(_xll.BDP($AI8&amp;" ISIN","DZ282")="Y","Single line Bonds Cocos","Single line Bonds ex Cocos"))</f>
        <v>Single line Bonds ex Cocos</v>
      </c>
      <c r="AM8" s="6">
        <f>(IF(_xll.BDP($G8&amp;" ISIN","SP153")="#n/a n/a"," ",_xll.BDP($G8&amp;" ISIN","SP153")))</f>
        <v>267.80779677633666</v>
      </c>
      <c r="AN8" s="14">
        <f t="shared" ca="1" si="7"/>
        <v>45755</v>
      </c>
      <c r="AO8" s="7">
        <f>(((_xll.BDP(AI8,"DS032"))/365)*I8)*O8</f>
        <v>6497.1643835616433</v>
      </c>
      <c r="AP8" s="7">
        <f>IF(F8="USD",AO8,(((_xll.BDP(F8&amp;"USD CURNCY","PX_LAST")))*AO8))</f>
        <v>6497.1643835616433</v>
      </c>
      <c r="AQ8" s="9" t="e">
        <f>S8/$S$180</f>
        <v>#DIV/0!</v>
      </c>
      <c r="AR8" s="7">
        <f t="shared" si="8"/>
        <v>527870</v>
      </c>
      <c r="AS8" s="13">
        <f>IF((TEXT(_xll.BDP(AI8,"MATURITY"),"DD/MM/YYYY")="#N/A Field Not Applicable"),"Perp",_xll.BDP(AI8,"DS252"))</f>
        <v>18.316221765913756</v>
      </c>
      <c r="AT8" s="5" t="str">
        <f>(IF(_xll.BDP($AI8&amp;" ISIN","DT247")="Y","Yes","No"))</f>
        <v>No</v>
      </c>
      <c r="AU8" s="5" t="str">
        <f>PROPER(IF(OR(_xll.BDP($AI8,"CPN_TYP")="#n/a N/A",_xll.BDP($AI8,"CPN_TYP")= "#N/A FIELD NOT APPLICABLE"), " ", _xll.BDP($AI8,"CPN_TYP")))</f>
        <v>Fixed</v>
      </c>
      <c r="BG8" s="27" t="str">
        <f t="shared" si="9"/>
        <v>US054989AC24</v>
      </c>
      <c r="BH8" s="36">
        <v>45056</v>
      </c>
    </row>
    <row r="9" spans="1:16381" s="15" customFormat="1" ht="14.45" customHeight="1" x14ac:dyDescent="0.25">
      <c r="A9" s="16" t="s">
        <v>138</v>
      </c>
      <c r="B9" s="16" t="s">
        <v>88</v>
      </c>
      <c r="C9" s="16">
        <v>4371510</v>
      </c>
      <c r="D9" s="16" t="s">
        <v>89</v>
      </c>
      <c r="E9" s="11" t="str">
        <f>_xll.BDP(AI9,"ds520")</f>
        <v>Finance Department Government of Sharjah</v>
      </c>
      <c r="F9" s="11" t="str">
        <f>_xll.BDP(AI9,"crncy")</f>
        <v>USD</v>
      </c>
      <c r="G9" s="34" t="s">
        <v>81</v>
      </c>
      <c r="H9" s="11" t="str">
        <f>IF(_xll.BDP(AI9,"RTG_MOODY")="#N/A N/A","N/A",_xll.BDP(AI9,"RTG_MOODY"))&amp;","&amp;IF(_xll.BDP(AI9,"RTG_FITCH")="#N/A N/A","N/A",_xll.BDP(AI9,"RTG_FITCH"))&amp;","&amp;IF(_xll.BDP(AI9,"RTG_SP")="#N/A N/A","N/A",_xll.BDP(AI9,"RTG_SP"))</f>
        <v>Ba1,N/A,BBB-</v>
      </c>
      <c r="I9" s="5">
        <f>_xll.BDP(AI9,"cpn")/100</f>
        <v>4.3749999999999997E-2</v>
      </c>
      <c r="J9" s="5">
        <f ca="1">_xll.BDP($G9&amp;" isin","YAS_BOND_YLD", "YAS_YLD_FLAG=15", "user_local_trade_date",AN9,"Yas_bond_px",$Q9)/100</f>
        <v>7.0673819999999998E-2</v>
      </c>
      <c r="K9" s="11" t="str">
        <f>_xll.BDP(AI9,"PAYMENT_RANK")</f>
        <v>Sr Unsecured</v>
      </c>
      <c r="L9" s="11" t="str">
        <f>IF((TEXT(_xll.BDP(AI9,"MATURITY"),"DD/MM/YYYY")="#N/A Field Not Applicable"),"Perp",TEXT(_xll.BDP(AI9,"MATURITY"),"DD/MM/YYYY"))</f>
        <v>10/03/2051</v>
      </c>
      <c r="M9" s="6">
        <f>(IF(_xll.BDP($AI9&amp;" ISIN","DU003")="#n/a n/a"," ",_xll.BDP($AI9&amp;" ISIN","DU003")))</f>
        <v>13.469802300472971</v>
      </c>
      <c r="N9" s="11" t="str">
        <f>IF(_xll.BDP(AI9,"CALLABLE")="Y",_xll.BDP(AI9,"NXT_CALL_DT")," ")</f>
        <v xml:space="preserve"> </v>
      </c>
      <c r="O9" s="35">
        <v>500000</v>
      </c>
      <c r="P9" s="34">
        <v>69.873000000000005</v>
      </c>
      <c r="Q9" s="13">
        <f>_xll.BDP(AI9,"px_bid")</f>
        <v>68.195999999999998</v>
      </c>
      <c r="R9" s="7">
        <f>IF(F9="USD",AG9,(((_xll.BDP(F9&amp;"USD CURNCY","PX_LAST")))*AG9))</f>
        <v>349365</v>
      </c>
      <c r="S9" s="7">
        <f>IF(F9="USD",AH9,(((_xll.BDP(F9&amp;"USD CURNCY","PX_LAST")))*AH9))+AP9</f>
        <v>342777.94520547945</v>
      </c>
      <c r="T9" s="8">
        <f t="shared" si="0"/>
        <v>-8385.0000000000327</v>
      </c>
      <c r="U9" s="9">
        <f t="shared" si="1"/>
        <v>-2.4000686960628664E-2</v>
      </c>
      <c r="V9" s="9" cm="1">
        <f t="array" ref="V9">IFERROR(_xll.BDP($G9&amp;" ISIN","CHG_PCT_1D")/100,"")</f>
        <v>-5.6731019711134308E-3</v>
      </c>
      <c r="W9" s="9" cm="1">
        <f t="array" ref="W9">IFERROR(_xll.BDP($G9&amp;" ISIN","CHG_PCT_5D")/100,"")</f>
        <v>-1.3907427341227041E-2</v>
      </c>
      <c r="X9" s="9" cm="1">
        <f t="array" ref="X9">_xll.BDP($G9&amp;" ISIN","CHG_PCT_1M")/100</f>
        <v>-1.2731348430854059E-2</v>
      </c>
      <c r="Y9" s="9" cm="1">
        <f t="array" ref="Y9">_xll.BDP($G9&amp;" ISIN","CHG_PCT_3M")/100</f>
        <v>1.5759905381431141E-2</v>
      </c>
      <c r="Z9" s="9" cm="1">
        <f t="array" ref="Z9">_xll.BDP($G9&amp;" ISIN","CHG_PCT_6M")/100</f>
        <v>-6.2200565087424782E-2</v>
      </c>
      <c r="AA9" s="9" cm="1">
        <f t="array" ref="AA9">_xll.BDP($G9&amp;" ISIN","CHG_PCT_YTD")/100</f>
        <v>-2.3812980978655651E-3</v>
      </c>
      <c r="AB9" s="9" t="e">
        <f t="shared" si="2"/>
        <v>#DIV/0!</v>
      </c>
      <c r="AC9" s="12">
        <f t="shared" ca="1" si="3"/>
        <v>11424.027777777745</v>
      </c>
      <c r="AD9" s="11" t="str">
        <f>_xll.BDP(AI9,"DS199")</f>
        <v>Government</v>
      </c>
      <c r="AE9" s="13">
        <f>_xll.BDP(AI9,"px_ask")</f>
        <v>69.215999999999994</v>
      </c>
      <c r="AF9" s="12">
        <f>IF(F9="USD",O9,(((_xll.BDP(F9&amp;"USD CURNCY","PX_LAST")))*O9))</f>
        <v>500000</v>
      </c>
      <c r="AG9" s="7">
        <f t="shared" si="4"/>
        <v>349365</v>
      </c>
      <c r="AH9" s="7">
        <f t="shared" si="5"/>
        <v>340980</v>
      </c>
      <c r="AI9" s="11" t="str">
        <f t="shared" si="6"/>
        <v>XS2302929901 ISIN</v>
      </c>
      <c r="AJ9" s="11" t="e" cm="1">
        <f t="array" ref="AJ9">VLOOKUP(IF(NOT(_xll.BDP($G9&amp;" CORP",#REF!)="#N/A N/A"),(_xll.BDP($G9&amp;" CORP",#REF!)),"-"), '[1]Country Codes'!$A$2:$B$253,2,0)</f>
        <v>#REF!</v>
      </c>
      <c r="AK9" s="11" t="str" cm="1">
        <f t="array" ref="AK9">IF(OR(_xll.BDP($AI9,"EX028")= "#N/A N/A", _xll.BDP($AI9,"EX028")="#N/A FIELD NOT APPLICABLE"), " ", _xll.BDP($AI9,"EX028"))</f>
        <v>FixedIncome</v>
      </c>
      <c r="AL9" s="5" t="str">
        <f>(IF(_xll.BDP($AI9&amp;" ISIN","DZ282")="Y","Single line Bonds Cocos","Single line Bonds ex Cocos"))</f>
        <v>Single line Bonds ex Cocos</v>
      </c>
      <c r="AM9" s="6">
        <f>(IF(_xll.BDP($G9&amp;" ISIN","SP153")="#n/a n/a"," ",_xll.BDP($G9&amp;" ISIN","SP153")))</f>
        <v>319.38045191555801</v>
      </c>
      <c r="AN9" s="14">
        <f t="shared" ca="1" si="7"/>
        <v>45755</v>
      </c>
      <c r="AO9" s="7">
        <f>(((_xll.BDP(AI9,"DS032"))/365)*I9)*O9</f>
        <v>1797.9452054794517</v>
      </c>
      <c r="AP9" s="7">
        <f>IF(F9="USD",AO9,(((_xll.BDP(F9&amp;"USD CURNCY","PX_LAST")))*AO9))</f>
        <v>1797.9452054794517</v>
      </c>
      <c r="AQ9" s="9" t="e">
        <f>S9/$S$165</f>
        <v>#DIV/0!</v>
      </c>
      <c r="AR9" s="7">
        <f t="shared" si="8"/>
        <v>340980</v>
      </c>
      <c r="AS9" s="13">
        <f>IF((TEXT(_xll.BDP(AI9,"MATURITY"),"DD/MM/YYYY")="#N/A Field Not Applicable"),"Perp",_xll.BDP(AI9,"DS252"))</f>
        <v>25.919233401779604</v>
      </c>
      <c r="AT9" s="5" t="str">
        <f>(IF(_xll.BDP($AI9&amp;" ISIN","DT247")="Y","Yes","No"))</f>
        <v>No</v>
      </c>
      <c r="AU9" s="5" t="str">
        <f>PROPER(IF(OR(_xll.BDP($AI9,"CPN_TYP")="#n/a N/A",_xll.BDP($AI9,"CPN_TYP")= "#N/A FIELD NOT APPLICABLE"), " ", _xll.BDP($AI9,"CPN_TYP")))</f>
        <v>Fixed</v>
      </c>
      <c r="BG9" s="27" t="str">
        <f t="shared" si="9"/>
        <v>XS2302929901</v>
      </c>
      <c r="BH9" s="36">
        <v>45429</v>
      </c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  <c r="BKL9" s="4"/>
      <c r="BKM9" s="4"/>
      <c r="BKN9" s="4"/>
      <c r="BKO9" s="4"/>
      <c r="BKP9" s="4"/>
      <c r="BKQ9" s="4"/>
      <c r="BKR9" s="4"/>
      <c r="BKS9" s="4"/>
      <c r="BKT9" s="4"/>
      <c r="BKU9" s="4"/>
      <c r="BKV9" s="4"/>
      <c r="BKW9" s="4"/>
      <c r="BKX9" s="4"/>
      <c r="BKY9" s="4"/>
      <c r="BKZ9" s="4"/>
      <c r="BLA9" s="4"/>
      <c r="BLB9" s="4"/>
      <c r="BLC9" s="4"/>
      <c r="BLD9" s="4"/>
      <c r="BLE9" s="4"/>
      <c r="BLF9" s="4"/>
      <c r="BLG9" s="4"/>
      <c r="BLH9" s="4"/>
      <c r="BLI9" s="4"/>
      <c r="BLJ9" s="4"/>
      <c r="BLK9" s="4"/>
      <c r="BLL9" s="4"/>
      <c r="BLM9" s="4"/>
      <c r="BLN9" s="4"/>
      <c r="BLO9" s="4"/>
      <c r="BLP9" s="4"/>
      <c r="BLQ9" s="4"/>
      <c r="BLR9" s="4"/>
      <c r="BLS9" s="4"/>
      <c r="BLT9" s="4"/>
      <c r="BLU9" s="4"/>
      <c r="BLV9" s="4"/>
      <c r="BLW9" s="4"/>
      <c r="BLX9" s="4"/>
      <c r="BLY9" s="4"/>
      <c r="BLZ9" s="4"/>
      <c r="BMA9" s="4"/>
      <c r="BMB9" s="4"/>
      <c r="BMC9" s="4"/>
      <c r="BMD9" s="4"/>
      <c r="BME9" s="4"/>
      <c r="BMF9" s="4"/>
      <c r="BMG9" s="4"/>
      <c r="BMH9" s="4"/>
      <c r="BMI9" s="4"/>
      <c r="BMJ9" s="4"/>
      <c r="BMK9" s="4"/>
      <c r="BML9" s="4"/>
      <c r="BMM9" s="4"/>
      <c r="BMN9" s="4"/>
      <c r="BMO9" s="4"/>
      <c r="BMP9" s="4"/>
      <c r="BMQ9" s="4"/>
      <c r="BMR9" s="4"/>
      <c r="BMS9" s="4"/>
      <c r="BMT9" s="4"/>
      <c r="BMU9" s="4"/>
      <c r="BMV9" s="4"/>
      <c r="BMW9" s="4"/>
      <c r="BMX9" s="4"/>
      <c r="BMY9" s="4"/>
      <c r="BMZ9" s="4"/>
      <c r="BNA9" s="4"/>
      <c r="BNB9" s="4"/>
      <c r="BNC9" s="4"/>
      <c r="BND9" s="4"/>
      <c r="BNE9" s="4"/>
      <c r="BNF9" s="4"/>
      <c r="BNG9" s="4"/>
      <c r="BNH9" s="4"/>
      <c r="BNI9" s="4"/>
      <c r="BNJ9" s="4"/>
      <c r="BNK9" s="4"/>
      <c r="BNL9" s="4"/>
      <c r="BNM9" s="4"/>
      <c r="BNN9" s="4"/>
      <c r="BNO9" s="4"/>
      <c r="BNP9" s="4"/>
      <c r="BNQ9" s="4"/>
      <c r="BNR9" s="4"/>
      <c r="BNS9" s="4"/>
      <c r="BNT9" s="4"/>
      <c r="BNU9" s="4"/>
      <c r="BNV9" s="4"/>
      <c r="BNW9" s="4"/>
      <c r="BNX9" s="4"/>
      <c r="BNY9" s="4"/>
      <c r="BNZ9" s="4"/>
      <c r="BOA9" s="4"/>
      <c r="BOB9" s="4"/>
      <c r="BOC9" s="4"/>
      <c r="BOD9" s="4"/>
      <c r="BOE9" s="4"/>
      <c r="BOF9" s="4"/>
      <c r="BOG9" s="4"/>
      <c r="BOH9" s="4"/>
      <c r="BOI9" s="4"/>
      <c r="BOJ9" s="4"/>
      <c r="BOK9" s="4"/>
      <c r="BOL9" s="4"/>
      <c r="BOM9" s="4"/>
      <c r="BON9" s="4"/>
      <c r="BOO9" s="4"/>
      <c r="BOP9" s="4"/>
      <c r="BOQ9" s="4"/>
      <c r="BOR9" s="4"/>
      <c r="BOS9" s="4"/>
      <c r="BOT9" s="4"/>
      <c r="BOU9" s="4"/>
      <c r="BOV9" s="4"/>
      <c r="BOW9" s="4"/>
      <c r="BOX9" s="4"/>
      <c r="BOY9" s="4"/>
      <c r="BOZ9" s="4"/>
      <c r="BPA9" s="4"/>
      <c r="BPB9" s="4"/>
      <c r="BPC9" s="4"/>
      <c r="BPD9" s="4"/>
      <c r="BPE9" s="4"/>
      <c r="BPF9" s="4"/>
      <c r="BPG9" s="4"/>
      <c r="BPH9" s="4"/>
      <c r="BPI9" s="4"/>
      <c r="BPJ9" s="4"/>
      <c r="BPK9" s="4"/>
      <c r="BPL9" s="4"/>
      <c r="BPM9" s="4"/>
      <c r="BPN9" s="4"/>
      <c r="BPO9" s="4"/>
      <c r="BPP9" s="4"/>
      <c r="BPQ9" s="4"/>
      <c r="BPR9" s="4"/>
      <c r="BPS9" s="4"/>
      <c r="BPT9" s="4"/>
      <c r="BPU9" s="4"/>
      <c r="BPV9" s="4"/>
      <c r="BPW9" s="4"/>
      <c r="BPX9" s="4"/>
      <c r="BPY9" s="4"/>
      <c r="BPZ9" s="4"/>
      <c r="BQA9" s="4"/>
      <c r="BQB9" s="4"/>
      <c r="BQC9" s="4"/>
      <c r="BQD9" s="4"/>
      <c r="BQE9" s="4"/>
      <c r="BQF9" s="4"/>
      <c r="BQG9" s="4"/>
      <c r="BQH9" s="4"/>
      <c r="BQI9" s="4"/>
      <c r="BQJ9" s="4"/>
      <c r="BQK9" s="4"/>
      <c r="BQL9" s="4"/>
      <c r="BQM9" s="4"/>
      <c r="BQN9" s="4"/>
      <c r="BQO9" s="4"/>
      <c r="BQP9" s="4"/>
      <c r="BQQ9" s="4"/>
      <c r="BQR9" s="4"/>
      <c r="BQS9" s="4"/>
      <c r="BQT9" s="4"/>
      <c r="BQU9" s="4"/>
      <c r="BQV9" s="4"/>
      <c r="BQW9" s="4"/>
      <c r="BQX9" s="4"/>
      <c r="BQY9" s="4"/>
      <c r="BQZ9" s="4"/>
      <c r="BRA9" s="4"/>
      <c r="BRB9" s="4"/>
      <c r="BRC9" s="4"/>
      <c r="BRD9" s="4"/>
      <c r="BRE9" s="4"/>
      <c r="BRF9" s="4"/>
      <c r="BRG9" s="4"/>
      <c r="BRH9" s="4"/>
      <c r="BRI9" s="4"/>
      <c r="BRJ9" s="4"/>
      <c r="BRK9" s="4"/>
      <c r="BRL9" s="4"/>
      <c r="BRM9" s="4"/>
      <c r="BRN9" s="4"/>
      <c r="BRO9" s="4"/>
      <c r="BRP9" s="4"/>
      <c r="BRQ9" s="4"/>
      <c r="BRR9" s="4"/>
      <c r="BRS9" s="4"/>
      <c r="BRT9" s="4"/>
      <c r="BRU9" s="4"/>
      <c r="BRV9" s="4"/>
      <c r="BRW9" s="4"/>
      <c r="BRX9" s="4"/>
      <c r="BRY9" s="4"/>
      <c r="BRZ9" s="4"/>
      <c r="BSA9" s="4"/>
      <c r="BSB9" s="4"/>
      <c r="BSC9" s="4"/>
      <c r="BSD9" s="4"/>
      <c r="BSE9" s="4"/>
      <c r="BSF9" s="4"/>
      <c r="BSG9" s="4"/>
      <c r="BSH9" s="4"/>
      <c r="BSI9" s="4"/>
      <c r="BSJ9" s="4"/>
      <c r="BSK9" s="4"/>
      <c r="BSL9" s="4"/>
      <c r="BSM9" s="4"/>
      <c r="BSN9" s="4"/>
      <c r="BSO9" s="4"/>
      <c r="BSP9" s="4"/>
      <c r="BSQ9" s="4"/>
      <c r="BSR9" s="4"/>
      <c r="BSS9" s="4"/>
      <c r="BST9" s="4"/>
      <c r="BSU9" s="4"/>
      <c r="BSV9" s="4"/>
      <c r="BSW9" s="4"/>
      <c r="BSX9" s="4"/>
      <c r="BSY9" s="4"/>
      <c r="BSZ9" s="4"/>
      <c r="BTA9" s="4"/>
      <c r="BTB9" s="4"/>
      <c r="BTC9" s="4"/>
      <c r="BTD9" s="4"/>
      <c r="BTE9" s="4"/>
      <c r="BTF9" s="4"/>
      <c r="BTG9" s="4"/>
      <c r="BTH9" s="4"/>
      <c r="BTI9" s="4"/>
      <c r="BTJ9" s="4"/>
      <c r="BTK9" s="4"/>
      <c r="BTL9" s="4"/>
      <c r="BTM9" s="4"/>
      <c r="BTN9" s="4"/>
      <c r="BTO9" s="4"/>
      <c r="BTP9" s="4"/>
      <c r="BTQ9" s="4"/>
      <c r="BTR9" s="4"/>
      <c r="BTS9" s="4"/>
      <c r="BTT9" s="4"/>
      <c r="BTU9" s="4"/>
      <c r="BTV9" s="4"/>
      <c r="BTW9" s="4"/>
      <c r="BTX9" s="4"/>
      <c r="BTY9" s="4"/>
      <c r="BTZ9" s="4"/>
      <c r="BUA9" s="4"/>
      <c r="BUB9" s="4"/>
      <c r="BUC9" s="4"/>
      <c r="BUD9" s="4"/>
      <c r="BUE9" s="4"/>
      <c r="BUF9" s="4"/>
      <c r="BUG9" s="4"/>
      <c r="BUH9" s="4"/>
      <c r="BUI9" s="4"/>
      <c r="BUJ9" s="4"/>
      <c r="BUK9" s="4"/>
      <c r="BUL9" s="4"/>
      <c r="BUM9" s="4"/>
      <c r="BUN9" s="4"/>
      <c r="BUO9" s="4"/>
      <c r="BUP9" s="4"/>
      <c r="BUQ9" s="4"/>
      <c r="BUR9" s="4"/>
      <c r="BUS9" s="4"/>
      <c r="BUT9" s="4"/>
      <c r="BUU9" s="4"/>
      <c r="BUV9" s="4"/>
      <c r="BUW9" s="4"/>
      <c r="BUX9" s="4"/>
      <c r="BUY9" s="4"/>
      <c r="BUZ9" s="4"/>
      <c r="BVA9" s="4"/>
      <c r="BVB9" s="4"/>
      <c r="BVC9" s="4"/>
      <c r="BVD9" s="4"/>
      <c r="BVE9" s="4"/>
      <c r="BVF9" s="4"/>
      <c r="BVG9" s="4"/>
      <c r="BVH9" s="4"/>
      <c r="BVI9" s="4"/>
      <c r="BVJ9" s="4"/>
      <c r="BVK9" s="4"/>
      <c r="BVL9" s="4"/>
      <c r="BVM9" s="4"/>
      <c r="BVN9" s="4"/>
      <c r="BVO9" s="4"/>
      <c r="BVP9" s="4"/>
      <c r="BVQ9" s="4"/>
      <c r="BVR9" s="4"/>
      <c r="BVS9" s="4"/>
      <c r="BVT9" s="4"/>
      <c r="BVU9" s="4"/>
      <c r="BVV9" s="4"/>
      <c r="BVW9" s="4"/>
      <c r="BVX9" s="4"/>
      <c r="BVY9" s="4"/>
      <c r="BVZ9" s="4"/>
      <c r="BWA9" s="4"/>
      <c r="BWB9" s="4"/>
      <c r="BWC9" s="4"/>
      <c r="BWD9" s="4"/>
      <c r="BWE9" s="4"/>
      <c r="BWF9" s="4"/>
      <c r="BWG9" s="4"/>
      <c r="BWH9" s="4"/>
      <c r="BWI9" s="4"/>
      <c r="BWJ9" s="4"/>
      <c r="BWK9" s="4"/>
      <c r="BWL9" s="4"/>
      <c r="BWM9" s="4"/>
      <c r="BWN9" s="4"/>
      <c r="BWO9" s="4"/>
      <c r="BWP9" s="4"/>
      <c r="BWQ9" s="4"/>
      <c r="BWR9" s="4"/>
      <c r="BWS9" s="4"/>
      <c r="BWT9" s="4"/>
      <c r="BWU9" s="4"/>
      <c r="BWV9" s="4"/>
      <c r="BWW9" s="4"/>
      <c r="BWX9" s="4"/>
      <c r="BWY9" s="4"/>
      <c r="BWZ9" s="4"/>
      <c r="BXA9" s="4"/>
      <c r="BXB9" s="4"/>
      <c r="BXC9" s="4"/>
      <c r="BXD9" s="4"/>
      <c r="BXE9" s="4"/>
      <c r="BXF9" s="4"/>
      <c r="BXG9" s="4"/>
      <c r="BXH9" s="4"/>
      <c r="BXI9" s="4"/>
      <c r="BXJ9" s="4"/>
      <c r="BXK9" s="4"/>
      <c r="BXL9" s="4"/>
      <c r="BXM9" s="4"/>
      <c r="BXN9" s="4"/>
      <c r="BXO9" s="4"/>
      <c r="BXP9" s="4"/>
      <c r="BXQ9" s="4"/>
      <c r="BXR9" s="4"/>
      <c r="BXS9" s="4"/>
      <c r="BXT9" s="4"/>
      <c r="BXU9" s="4"/>
      <c r="BXV9" s="4"/>
      <c r="BXW9" s="4"/>
      <c r="BXX9" s="4"/>
      <c r="BXY9" s="4"/>
      <c r="BXZ9" s="4"/>
      <c r="BYA9" s="4"/>
      <c r="BYB9" s="4"/>
      <c r="BYC9" s="4"/>
      <c r="BYD9" s="4"/>
      <c r="BYE9" s="4"/>
      <c r="BYF9" s="4"/>
      <c r="BYG9" s="4"/>
      <c r="BYH9" s="4"/>
      <c r="BYI9" s="4"/>
      <c r="BYJ9" s="4"/>
      <c r="BYK9" s="4"/>
      <c r="BYL9" s="4"/>
      <c r="BYM9" s="4"/>
      <c r="BYN9" s="4"/>
      <c r="BYO9" s="4"/>
      <c r="BYP9" s="4"/>
      <c r="BYQ9" s="4"/>
      <c r="BYR9" s="4"/>
      <c r="BYS9" s="4"/>
      <c r="BYT9" s="4"/>
      <c r="BYU9" s="4"/>
      <c r="BYV9" s="4"/>
      <c r="BYW9" s="4"/>
      <c r="BYX9" s="4"/>
      <c r="BYY9" s="4"/>
      <c r="BYZ9" s="4"/>
      <c r="BZA9" s="4"/>
      <c r="BZB9" s="4"/>
      <c r="BZC9" s="4"/>
      <c r="BZD9" s="4"/>
      <c r="BZE9" s="4"/>
      <c r="BZF9" s="4"/>
      <c r="BZG9" s="4"/>
      <c r="BZH9" s="4"/>
      <c r="BZI9" s="4"/>
      <c r="BZJ9" s="4"/>
      <c r="BZK9" s="4"/>
      <c r="BZL9" s="4"/>
      <c r="BZM9" s="4"/>
      <c r="BZN9" s="4"/>
      <c r="BZO9" s="4"/>
      <c r="BZP9" s="4"/>
      <c r="BZQ9" s="4"/>
      <c r="BZR9" s="4"/>
      <c r="BZS9" s="4"/>
      <c r="BZT9" s="4"/>
      <c r="BZU9" s="4"/>
      <c r="BZV9" s="4"/>
      <c r="BZW9" s="4"/>
      <c r="BZX9" s="4"/>
      <c r="BZY9" s="4"/>
      <c r="BZZ9" s="4"/>
      <c r="CAA9" s="4"/>
      <c r="CAB9" s="4"/>
      <c r="CAC9" s="4"/>
      <c r="CAD9" s="4"/>
      <c r="CAE9" s="4"/>
      <c r="CAF9" s="4"/>
      <c r="CAG9" s="4"/>
      <c r="CAH9" s="4"/>
      <c r="CAI9" s="4"/>
      <c r="CAJ9" s="4"/>
      <c r="CAK9" s="4"/>
      <c r="CAL9" s="4"/>
      <c r="CAM9" s="4"/>
      <c r="CAN9" s="4"/>
      <c r="CAO9" s="4"/>
      <c r="CAP9" s="4"/>
      <c r="CAQ9" s="4"/>
      <c r="CAR9" s="4"/>
      <c r="CAS9" s="4"/>
      <c r="CAT9" s="4"/>
      <c r="CAU9" s="4"/>
      <c r="CAV9" s="4"/>
      <c r="CAW9" s="4"/>
      <c r="CAX9" s="4"/>
      <c r="CAY9" s="4"/>
      <c r="CAZ9" s="4"/>
      <c r="CBA9" s="4"/>
      <c r="CBB9" s="4"/>
      <c r="CBC9" s="4"/>
      <c r="CBD9" s="4"/>
      <c r="CBE9" s="4"/>
      <c r="CBF9" s="4"/>
      <c r="CBG9" s="4"/>
      <c r="CBH9" s="4"/>
      <c r="CBI9" s="4"/>
      <c r="CBJ9" s="4"/>
      <c r="CBK9" s="4"/>
      <c r="CBL9" s="4"/>
      <c r="CBM9" s="4"/>
      <c r="CBN9" s="4"/>
      <c r="CBO9" s="4"/>
      <c r="CBP9" s="4"/>
      <c r="CBQ9" s="4"/>
      <c r="CBR9" s="4"/>
      <c r="CBS9" s="4"/>
      <c r="CBT9" s="4"/>
      <c r="CBU9" s="4"/>
      <c r="CBV9" s="4"/>
      <c r="CBW9" s="4"/>
      <c r="CBX9" s="4"/>
      <c r="CBY9" s="4"/>
      <c r="CBZ9" s="4"/>
      <c r="CCA9" s="4"/>
      <c r="CCB9" s="4"/>
      <c r="CCC9" s="4"/>
      <c r="CCD9" s="4"/>
      <c r="CCE9" s="4"/>
      <c r="CCF9" s="4"/>
      <c r="CCG9" s="4"/>
      <c r="CCH9" s="4"/>
      <c r="CCI9" s="4"/>
      <c r="CCJ9" s="4"/>
      <c r="CCK9" s="4"/>
      <c r="CCL9" s="4"/>
      <c r="CCM9" s="4"/>
      <c r="CCN9" s="4"/>
      <c r="CCO9" s="4"/>
      <c r="CCP9" s="4"/>
      <c r="CCQ9" s="4"/>
      <c r="CCR9" s="4"/>
      <c r="CCS9" s="4"/>
      <c r="CCT9" s="4"/>
      <c r="CCU9" s="4"/>
      <c r="CCV9" s="4"/>
      <c r="CCW9" s="4"/>
      <c r="CCX9" s="4"/>
      <c r="CCY9" s="4"/>
      <c r="CCZ9" s="4"/>
      <c r="CDA9" s="4"/>
      <c r="CDB9" s="4"/>
      <c r="CDC9" s="4"/>
      <c r="CDD9" s="4"/>
      <c r="CDE9" s="4"/>
      <c r="CDF9" s="4"/>
      <c r="CDG9" s="4"/>
      <c r="CDH9" s="4"/>
      <c r="CDI9" s="4"/>
      <c r="CDJ9" s="4"/>
      <c r="CDK9" s="4"/>
      <c r="CDL9" s="4"/>
      <c r="CDM9" s="4"/>
      <c r="CDN9" s="4"/>
      <c r="CDO9" s="4"/>
      <c r="CDP9" s="4"/>
      <c r="CDQ9" s="4"/>
      <c r="CDR9" s="4"/>
      <c r="CDS9" s="4"/>
      <c r="CDT9" s="4"/>
      <c r="CDU9" s="4"/>
      <c r="CDV9" s="4"/>
      <c r="CDW9" s="4"/>
      <c r="CDX9" s="4"/>
      <c r="CDY9" s="4"/>
      <c r="CDZ9" s="4"/>
      <c r="CEA9" s="4"/>
      <c r="CEB9" s="4"/>
      <c r="CEC9" s="4"/>
      <c r="CED9" s="4"/>
      <c r="CEE9" s="4"/>
      <c r="CEF9" s="4"/>
      <c r="CEG9" s="4"/>
      <c r="CEH9" s="4"/>
      <c r="CEI9" s="4"/>
      <c r="CEJ9" s="4"/>
      <c r="CEK9" s="4"/>
      <c r="CEL9" s="4"/>
      <c r="CEM9" s="4"/>
      <c r="CEN9" s="4"/>
      <c r="CEO9" s="4"/>
      <c r="CEP9" s="4"/>
      <c r="CEQ9" s="4"/>
      <c r="CER9" s="4"/>
      <c r="CES9" s="4"/>
      <c r="CET9" s="4"/>
      <c r="CEU9" s="4"/>
      <c r="CEV9" s="4"/>
      <c r="CEW9" s="4"/>
      <c r="CEX9" s="4"/>
      <c r="CEY9" s="4"/>
      <c r="CEZ9" s="4"/>
      <c r="CFA9" s="4"/>
      <c r="CFB9" s="4"/>
      <c r="CFC9" s="4"/>
      <c r="CFD9" s="4"/>
      <c r="CFE9" s="4"/>
      <c r="CFF9" s="4"/>
      <c r="CFG9" s="4"/>
      <c r="CFH9" s="4"/>
      <c r="CFI9" s="4"/>
      <c r="CFJ9" s="4"/>
      <c r="CFK9" s="4"/>
      <c r="CFL9" s="4"/>
      <c r="CFM9" s="4"/>
      <c r="CFN9" s="4"/>
      <c r="CFO9" s="4"/>
      <c r="CFP9" s="4"/>
      <c r="CFQ9" s="4"/>
      <c r="CFR9" s="4"/>
      <c r="CFS9" s="4"/>
      <c r="CFT9" s="4"/>
      <c r="CFU9" s="4"/>
      <c r="CFV9" s="4"/>
      <c r="CFW9" s="4"/>
      <c r="CFX9" s="4"/>
      <c r="CFY9" s="4"/>
      <c r="CFZ9" s="4"/>
      <c r="CGA9" s="4"/>
      <c r="CGB9" s="4"/>
      <c r="CGC9" s="4"/>
      <c r="CGD9" s="4"/>
      <c r="CGE9" s="4"/>
      <c r="CGF9" s="4"/>
      <c r="CGG9" s="4"/>
      <c r="CGH9" s="4"/>
      <c r="CGI9" s="4"/>
      <c r="CGJ9" s="4"/>
      <c r="CGK9" s="4"/>
      <c r="CGL9" s="4"/>
      <c r="CGM9" s="4"/>
      <c r="CGN9" s="4"/>
      <c r="CGO9" s="4"/>
      <c r="CGP9" s="4"/>
      <c r="CGQ9" s="4"/>
      <c r="CGR9" s="4"/>
      <c r="CGS9" s="4"/>
      <c r="CGT9" s="4"/>
      <c r="CGU9" s="4"/>
      <c r="CGV9" s="4"/>
      <c r="CGW9" s="4"/>
      <c r="CGX9" s="4"/>
      <c r="CGY9" s="4"/>
      <c r="CGZ9" s="4"/>
      <c r="CHA9" s="4"/>
      <c r="CHB9" s="4"/>
      <c r="CHC9" s="4"/>
      <c r="CHD9" s="4"/>
      <c r="CHE9" s="4"/>
      <c r="CHF9" s="4"/>
      <c r="CHG9" s="4"/>
      <c r="CHH9" s="4"/>
      <c r="CHI9" s="4"/>
      <c r="CHJ9" s="4"/>
      <c r="CHK9" s="4"/>
      <c r="CHL9" s="4"/>
      <c r="CHM9" s="4"/>
      <c r="CHN9" s="4"/>
      <c r="CHO9" s="4"/>
      <c r="CHP9" s="4"/>
      <c r="CHQ9" s="4"/>
      <c r="CHR9" s="4"/>
      <c r="CHS9" s="4"/>
      <c r="CHT9" s="4"/>
      <c r="CHU9" s="4"/>
      <c r="CHV9" s="4"/>
      <c r="CHW9" s="4"/>
      <c r="CHX9" s="4"/>
      <c r="CHY9" s="4"/>
      <c r="CHZ9" s="4"/>
      <c r="CIA9" s="4"/>
      <c r="CIB9" s="4"/>
      <c r="CIC9" s="4"/>
      <c r="CID9" s="4"/>
      <c r="CIE9" s="4"/>
      <c r="CIF9" s="4"/>
      <c r="CIG9" s="4"/>
      <c r="CIH9" s="4"/>
      <c r="CII9" s="4"/>
      <c r="CIJ9" s="4"/>
      <c r="CIK9" s="4"/>
      <c r="CIL9" s="4"/>
      <c r="CIM9" s="4"/>
      <c r="CIN9" s="4"/>
      <c r="CIO9" s="4"/>
      <c r="CIP9" s="4"/>
      <c r="CIQ9" s="4"/>
      <c r="CIR9" s="4"/>
      <c r="CIS9" s="4"/>
      <c r="CIT9" s="4"/>
      <c r="CIU9" s="4"/>
      <c r="CIV9" s="4"/>
      <c r="CIW9" s="4"/>
      <c r="CIX9" s="4"/>
      <c r="CIY9" s="4"/>
      <c r="CIZ9" s="4"/>
      <c r="CJA9" s="4"/>
      <c r="CJB9" s="4"/>
      <c r="CJC9" s="4"/>
      <c r="CJD9" s="4"/>
      <c r="CJE9" s="4"/>
      <c r="CJF9" s="4"/>
      <c r="CJG9" s="4"/>
      <c r="CJH9" s="4"/>
      <c r="CJI9" s="4"/>
      <c r="CJJ9" s="4"/>
      <c r="CJK9" s="4"/>
      <c r="CJL9" s="4"/>
      <c r="CJM9" s="4"/>
      <c r="CJN9" s="4"/>
      <c r="CJO9" s="4"/>
      <c r="CJP9" s="4"/>
      <c r="CJQ9" s="4"/>
      <c r="CJR9" s="4"/>
      <c r="CJS9" s="4"/>
      <c r="CJT9" s="4"/>
      <c r="CJU9" s="4"/>
      <c r="CJV9" s="4"/>
      <c r="CJW9" s="4"/>
      <c r="CJX9" s="4"/>
      <c r="CJY9" s="4"/>
      <c r="CJZ9" s="4"/>
      <c r="CKA9" s="4"/>
      <c r="CKB9" s="4"/>
      <c r="CKC9" s="4"/>
      <c r="CKD9" s="4"/>
      <c r="CKE9" s="4"/>
      <c r="CKF9" s="4"/>
      <c r="CKG9" s="4"/>
      <c r="CKH9" s="4"/>
      <c r="CKI9" s="4"/>
      <c r="CKJ9" s="4"/>
      <c r="CKK9" s="4"/>
      <c r="CKL9" s="4"/>
      <c r="CKM9" s="4"/>
      <c r="CKN9" s="4"/>
      <c r="CKO9" s="4"/>
      <c r="CKP9" s="4"/>
      <c r="CKQ9" s="4"/>
      <c r="CKR9" s="4"/>
      <c r="CKS9" s="4"/>
      <c r="CKT9" s="4"/>
      <c r="CKU9" s="4"/>
      <c r="CKV9" s="4"/>
      <c r="CKW9" s="4"/>
      <c r="CKX9" s="4"/>
      <c r="CKY9" s="4"/>
      <c r="CKZ9" s="4"/>
      <c r="CLA9" s="4"/>
      <c r="CLB9" s="4"/>
      <c r="CLC9" s="4"/>
      <c r="CLD9" s="4"/>
      <c r="CLE9" s="4"/>
      <c r="CLF9" s="4"/>
      <c r="CLG9" s="4"/>
      <c r="CLH9" s="4"/>
      <c r="CLI9" s="4"/>
      <c r="CLJ9" s="4"/>
      <c r="CLK9" s="4"/>
      <c r="CLL9" s="4"/>
      <c r="CLM9" s="4"/>
      <c r="CLN9" s="4"/>
      <c r="CLO9" s="4"/>
      <c r="CLP9" s="4"/>
      <c r="CLQ9" s="4"/>
      <c r="CLR9" s="4"/>
      <c r="CLS9" s="4"/>
      <c r="CLT9" s="4"/>
      <c r="CLU9" s="4"/>
      <c r="CLV9" s="4"/>
      <c r="CLW9" s="4"/>
      <c r="CLX9" s="4"/>
      <c r="CLY9" s="4"/>
      <c r="CLZ9" s="4"/>
      <c r="CMA9" s="4"/>
      <c r="CMB9" s="4"/>
      <c r="CMC9" s="4"/>
      <c r="CMD9" s="4"/>
      <c r="CME9" s="4"/>
      <c r="CMF9" s="4"/>
      <c r="CMG9" s="4"/>
      <c r="CMH9" s="4"/>
      <c r="CMI9" s="4"/>
      <c r="CMJ9" s="4"/>
      <c r="CMK9" s="4"/>
      <c r="CML9" s="4"/>
      <c r="CMM9" s="4"/>
      <c r="CMN9" s="4"/>
      <c r="CMO9" s="4"/>
      <c r="CMP9" s="4"/>
      <c r="CMQ9" s="4"/>
      <c r="CMR9" s="4"/>
      <c r="CMS9" s="4"/>
      <c r="CMT9" s="4"/>
      <c r="CMU9" s="4"/>
      <c r="CMV9" s="4"/>
      <c r="CMW9" s="4"/>
      <c r="CMX9" s="4"/>
      <c r="CMY9" s="4"/>
      <c r="CMZ9" s="4"/>
      <c r="CNA9" s="4"/>
      <c r="CNB9" s="4"/>
      <c r="CNC9" s="4"/>
      <c r="CND9" s="4"/>
      <c r="CNE9" s="4"/>
      <c r="CNF9" s="4"/>
      <c r="CNG9" s="4"/>
      <c r="CNH9" s="4"/>
      <c r="CNI9" s="4"/>
      <c r="CNJ9" s="4"/>
      <c r="CNK9" s="4"/>
      <c r="CNL9" s="4"/>
      <c r="CNM9" s="4"/>
      <c r="CNN9" s="4"/>
      <c r="CNO9" s="4"/>
      <c r="CNP9" s="4"/>
      <c r="CNQ9" s="4"/>
      <c r="CNR9" s="4"/>
      <c r="CNS9" s="4"/>
      <c r="CNT9" s="4"/>
      <c r="CNU9" s="4"/>
      <c r="CNV9" s="4"/>
      <c r="CNW9" s="4"/>
      <c r="CNX9" s="4"/>
      <c r="CNY9" s="4"/>
      <c r="CNZ9" s="4"/>
      <c r="COA9" s="4"/>
      <c r="COB9" s="4"/>
      <c r="COC9" s="4"/>
      <c r="COD9" s="4"/>
      <c r="COE9" s="4"/>
      <c r="COF9" s="4"/>
      <c r="COG9" s="4"/>
      <c r="COH9" s="4"/>
      <c r="COI9" s="4"/>
      <c r="COJ9" s="4"/>
      <c r="COK9" s="4"/>
      <c r="COL9" s="4"/>
      <c r="COM9" s="4"/>
      <c r="CON9" s="4"/>
      <c r="COO9" s="4"/>
      <c r="COP9" s="4"/>
      <c r="COQ9" s="4"/>
      <c r="COR9" s="4"/>
      <c r="COS9" s="4"/>
      <c r="COT9" s="4"/>
      <c r="COU9" s="4"/>
      <c r="COV9" s="4"/>
      <c r="COW9" s="4"/>
      <c r="COX9" s="4"/>
      <c r="COY9" s="4"/>
      <c r="COZ9" s="4"/>
      <c r="CPA9" s="4"/>
      <c r="CPB9" s="4"/>
      <c r="CPC9" s="4"/>
      <c r="CPD9" s="4"/>
      <c r="CPE9" s="4"/>
      <c r="CPF9" s="4"/>
      <c r="CPG9" s="4"/>
      <c r="CPH9" s="4"/>
      <c r="CPI9" s="4"/>
      <c r="CPJ9" s="4"/>
      <c r="CPK9" s="4"/>
      <c r="CPL9" s="4"/>
      <c r="CPM9" s="4"/>
      <c r="CPN9" s="4"/>
      <c r="CPO9" s="4"/>
      <c r="CPP9" s="4"/>
      <c r="CPQ9" s="4"/>
      <c r="CPR9" s="4"/>
      <c r="CPS9" s="4"/>
      <c r="CPT9" s="4"/>
      <c r="CPU9" s="4"/>
      <c r="CPV9" s="4"/>
      <c r="CPW9" s="4"/>
      <c r="CPX9" s="4"/>
      <c r="CPY9" s="4"/>
      <c r="CPZ9" s="4"/>
      <c r="CQA9" s="4"/>
      <c r="CQB9" s="4"/>
      <c r="CQC9" s="4"/>
      <c r="CQD9" s="4"/>
      <c r="CQE9" s="4"/>
      <c r="CQF9" s="4"/>
      <c r="CQG9" s="4"/>
      <c r="CQH9" s="4"/>
      <c r="CQI9" s="4"/>
      <c r="CQJ9" s="4"/>
      <c r="CQK9" s="4"/>
      <c r="CQL9" s="4"/>
      <c r="CQM9" s="4"/>
      <c r="CQN9" s="4"/>
      <c r="CQO9" s="4"/>
      <c r="CQP9" s="4"/>
      <c r="CQQ9" s="4"/>
      <c r="CQR9" s="4"/>
      <c r="CQS9" s="4"/>
      <c r="CQT9" s="4"/>
      <c r="CQU9" s="4"/>
      <c r="CQV9" s="4"/>
      <c r="CQW9" s="4"/>
      <c r="CQX9" s="4"/>
      <c r="CQY9" s="4"/>
      <c r="CQZ9" s="4"/>
      <c r="CRA9" s="4"/>
      <c r="CRB9" s="4"/>
      <c r="CRC9" s="4"/>
      <c r="CRD9" s="4"/>
      <c r="CRE9" s="4"/>
      <c r="CRF9" s="4"/>
      <c r="CRG9" s="4"/>
      <c r="CRH9" s="4"/>
      <c r="CRI9" s="4"/>
      <c r="CRJ9" s="4"/>
      <c r="CRK9" s="4"/>
      <c r="CRL9" s="4"/>
      <c r="CRM9" s="4"/>
      <c r="CRN9" s="4"/>
      <c r="CRO9" s="4"/>
      <c r="CRP9" s="4"/>
      <c r="CRQ9" s="4"/>
      <c r="CRR9" s="4"/>
      <c r="CRS9" s="4"/>
      <c r="CRT9" s="4"/>
      <c r="CRU9" s="4"/>
      <c r="CRV9" s="4"/>
      <c r="CRW9" s="4"/>
      <c r="CRX9" s="4"/>
      <c r="CRY9" s="4"/>
      <c r="CRZ9" s="4"/>
      <c r="CSA9" s="4"/>
      <c r="CSB9" s="4"/>
      <c r="CSC9" s="4"/>
      <c r="CSD9" s="4"/>
      <c r="CSE9" s="4"/>
      <c r="CSF9" s="4"/>
      <c r="CSG9" s="4"/>
      <c r="CSH9" s="4"/>
      <c r="CSI9" s="4"/>
      <c r="CSJ9" s="4"/>
      <c r="CSK9" s="4"/>
      <c r="CSL9" s="4"/>
      <c r="CSM9" s="4"/>
      <c r="CSN9" s="4"/>
      <c r="CSO9" s="4"/>
      <c r="CSP9" s="4"/>
      <c r="CSQ9" s="4"/>
      <c r="CSR9" s="4"/>
      <c r="CSS9" s="4"/>
      <c r="CST9" s="4"/>
      <c r="CSU9" s="4"/>
      <c r="CSV9" s="4"/>
      <c r="CSW9" s="4"/>
      <c r="CSX9" s="4"/>
      <c r="CSY9" s="4"/>
      <c r="CSZ9" s="4"/>
      <c r="CTA9" s="4"/>
      <c r="CTB9" s="4"/>
      <c r="CTC9" s="4"/>
      <c r="CTD9" s="4"/>
      <c r="CTE9" s="4"/>
      <c r="CTF9" s="4"/>
      <c r="CTG9" s="4"/>
      <c r="CTH9" s="4"/>
      <c r="CTI9" s="4"/>
      <c r="CTJ9" s="4"/>
      <c r="CTK9" s="4"/>
      <c r="CTL9" s="4"/>
      <c r="CTM9" s="4"/>
      <c r="CTN9" s="4"/>
      <c r="CTO9" s="4"/>
      <c r="CTP9" s="4"/>
      <c r="CTQ9" s="4"/>
      <c r="CTR9" s="4"/>
      <c r="CTS9" s="4"/>
      <c r="CTT9" s="4"/>
      <c r="CTU9" s="4"/>
      <c r="CTV9" s="4"/>
      <c r="CTW9" s="4"/>
      <c r="CTX9" s="4"/>
      <c r="CTY9" s="4"/>
      <c r="CTZ9" s="4"/>
      <c r="CUA9" s="4"/>
      <c r="CUB9" s="4"/>
      <c r="CUC9" s="4"/>
      <c r="CUD9" s="4"/>
      <c r="CUE9" s="4"/>
      <c r="CUF9" s="4"/>
      <c r="CUG9" s="4"/>
      <c r="CUH9" s="4"/>
      <c r="CUI9" s="4"/>
      <c r="CUJ9" s="4"/>
      <c r="CUK9" s="4"/>
      <c r="CUL9" s="4"/>
      <c r="CUM9" s="4"/>
      <c r="CUN9" s="4"/>
      <c r="CUO9" s="4"/>
      <c r="CUP9" s="4"/>
      <c r="CUQ9" s="4"/>
      <c r="CUR9" s="4"/>
      <c r="CUS9" s="4"/>
      <c r="CUT9" s="4"/>
      <c r="CUU9" s="4"/>
      <c r="CUV9" s="4"/>
      <c r="CUW9" s="4"/>
      <c r="CUX9" s="4"/>
      <c r="CUY9" s="4"/>
      <c r="CUZ9" s="4"/>
      <c r="CVA9" s="4"/>
      <c r="CVB9" s="4"/>
      <c r="CVC9" s="4"/>
      <c r="CVD9" s="4"/>
      <c r="CVE9" s="4"/>
      <c r="CVF9" s="4"/>
      <c r="CVG9" s="4"/>
      <c r="CVH9" s="4"/>
      <c r="CVI9" s="4"/>
      <c r="CVJ9" s="4"/>
      <c r="CVK9" s="4"/>
      <c r="CVL9" s="4"/>
      <c r="CVM9" s="4"/>
      <c r="CVN9" s="4"/>
      <c r="CVO9" s="4"/>
      <c r="CVP9" s="4"/>
      <c r="CVQ9" s="4"/>
      <c r="CVR9" s="4"/>
      <c r="CVS9" s="4"/>
      <c r="CVT9" s="4"/>
      <c r="CVU9" s="4"/>
      <c r="CVV9" s="4"/>
      <c r="CVW9" s="4"/>
      <c r="CVX9" s="4"/>
      <c r="CVY9" s="4"/>
      <c r="CVZ9" s="4"/>
      <c r="CWA9" s="4"/>
      <c r="CWB9" s="4"/>
      <c r="CWC9" s="4"/>
      <c r="CWD9" s="4"/>
      <c r="CWE9" s="4"/>
      <c r="CWF9" s="4"/>
      <c r="CWG9" s="4"/>
      <c r="CWH9" s="4"/>
      <c r="CWI9" s="4"/>
      <c r="CWJ9" s="4"/>
      <c r="CWK9" s="4"/>
      <c r="CWL9" s="4"/>
      <c r="CWM9" s="4"/>
      <c r="CWN9" s="4"/>
      <c r="CWO9" s="4"/>
      <c r="CWP9" s="4"/>
      <c r="CWQ9" s="4"/>
      <c r="CWR9" s="4"/>
      <c r="CWS9" s="4"/>
      <c r="CWT9" s="4"/>
      <c r="CWU9" s="4"/>
      <c r="CWV9" s="4"/>
      <c r="CWW9" s="4"/>
      <c r="CWX9" s="4"/>
      <c r="CWY9" s="4"/>
      <c r="CWZ9" s="4"/>
      <c r="CXA9" s="4"/>
      <c r="CXB9" s="4"/>
      <c r="CXC9" s="4"/>
      <c r="CXD9" s="4"/>
      <c r="CXE9" s="4"/>
      <c r="CXF9" s="4"/>
      <c r="CXG9" s="4"/>
      <c r="CXH9" s="4"/>
      <c r="CXI9" s="4"/>
      <c r="CXJ9" s="4"/>
      <c r="CXK9" s="4"/>
      <c r="CXL9" s="4"/>
      <c r="CXM9" s="4"/>
      <c r="CXN9" s="4"/>
      <c r="CXO9" s="4"/>
      <c r="CXP9" s="4"/>
      <c r="CXQ9" s="4"/>
      <c r="CXR9" s="4"/>
      <c r="CXS9" s="4"/>
      <c r="CXT9" s="4"/>
      <c r="CXU9" s="4"/>
      <c r="CXV9" s="4"/>
      <c r="CXW9" s="4"/>
      <c r="CXX9" s="4"/>
      <c r="CXY9" s="4"/>
      <c r="CXZ9" s="4"/>
      <c r="CYA9" s="4"/>
      <c r="CYB9" s="4"/>
      <c r="CYC9" s="4"/>
      <c r="CYD9" s="4"/>
      <c r="CYE9" s="4"/>
      <c r="CYF9" s="4"/>
      <c r="CYG9" s="4"/>
      <c r="CYH9" s="4"/>
      <c r="CYI9" s="4"/>
      <c r="CYJ9" s="4"/>
      <c r="CYK9" s="4"/>
      <c r="CYL9" s="4"/>
      <c r="CYM9" s="4"/>
      <c r="CYN9" s="4"/>
      <c r="CYO9" s="4"/>
      <c r="CYP9" s="4"/>
      <c r="CYQ9" s="4"/>
      <c r="CYR9" s="4"/>
      <c r="CYS9" s="4"/>
      <c r="CYT9" s="4"/>
      <c r="CYU9" s="4"/>
      <c r="CYV9" s="4"/>
      <c r="CYW9" s="4"/>
      <c r="CYX9" s="4"/>
      <c r="CYY9" s="4"/>
      <c r="CYZ9" s="4"/>
      <c r="CZA9" s="4"/>
      <c r="CZB9" s="4"/>
      <c r="CZC9" s="4"/>
      <c r="CZD9" s="4"/>
      <c r="CZE9" s="4"/>
      <c r="CZF9" s="4"/>
      <c r="CZG9" s="4"/>
      <c r="CZH9" s="4"/>
      <c r="CZI9" s="4"/>
      <c r="CZJ9" s="4"/>
      <c r="CZK9" s="4"/>
      <c r="CZL9" s="4"/>
      <c r="CZM9" s="4"/>
      <c r="CZN9" s="4"/>
      <c r="CZO9" s="4"/>
      <c r="CZP9" s="4"/>
      <c r="CZQ9" s="4"/>
      <c r="CZR9" s="4"/>
      <c r="CZS9" s="4"/>
      <c r="CZT9" s="4"/>
      <c r="CZU9" s="4"/>
      <c r="CZV9" s="4"/>
      <c r="CZW9" s="4"/>
      <c r="CZX9" s="4"/>
      <c r="CZY9" s="4"/>
      <c r="CZZ9" s="4"/>
      <c r="DAA9" s="4"/>
      <c r="DAB9" s="4"/>
      <c r="DAC9" s="4"/>
      <c r="DAD9" s="4"/>
      <c r="DAE9" s="4"/>
      <c r="DAF9" s="4"/>
      <c r="DAG9" s="4"/>
      <c r="DAH9" s="4"/>
      <c r="DAI9" s="4"/>
      <c r="DAJ9" s="4"/>
      <c r="DAK9" s="4"/>
      <c r="DAL9" s="4"/>
      <c r="DAM9" s="4"/>
      <c r="DAN9" s="4"/>
      <c r="DAO9" s="4"/>
      <c r="DAP9" s="4"/>
      <c r="DAQ9" s="4"/>
      <c r="DAR9" s="4"/>
      <c r="DAS9" s="4"/>
      <c r="DAT9" s="4"/>
      <c r="DAU9" s="4"/>
      <c r="DAV9" s="4"/>
      <c r="DAW9" s="4"/>
      <c r="DAX9" s="4"/>
      <c r="DAY9" s="4"/>
      <c r="DAZ9" s="4"/>
      <c r="DBA9" s="4"/>
      <c r="DBB9" s="4"/>
      <c r="DBC9" s="4"/>
      <c r="DBD9" s="4"/>
      <c r="DBE9" s="4"/>
      <c r="DBF9" s="4"/>
      <c r="DBG9" s="4"/>
      <c r="DBH9" s="4"/>
      <c r="DBI9" s="4"/>
      <c r="DBJ9" s="4"/>
      <c r="DBK9" s="4"/>
      <c r="DBL9" s="4"/>
      <c r="DBM9" s="4"/>
      <c r="DBN9" s="4"/>
      <c r="DBO9" s="4"/>
      <c r="DBP9" s="4"/>
      <c r="DBQ9" s="4"/>
      <c r="DBR9" s="4"/>
      <c r="DBS9" s="4"/>
      <c r="DBT9" s="4"/>
      <c r="DBU9" s="4"/>
      <c r="DBV9" s="4"/>
      <c r="DBW9" s="4"/>
      <c r="DBX9" s="4"/>
      <c r="DBY9" s="4"/>
      <c r="DBZ9" s="4"/>
      <c r="DCA9" s="4"/>
      <c r="DCB9" s="4"/>
      <c r="DCC9" s="4"/>
      <c r="DCD9" s="4"/>
      <c r="DCE9" s="4"/>
      <c r="DCF9" s="4"/>
      <c r="DCG9" s="4"/>
      <c r="DCH9" s="4"/>
      <c r="DCI9" s="4"/>
      <c r="DCJ9" s="4"/>
      <c r="DCK9" s="4"/>
      <c r="DCL9" s="4"/>
      <c r="DCM9" s="4"/>
      <c r="DCN9" s="4"/>
      <c r="DCO9" s="4"/>
      <c r="DCP9" s="4"/>
      <c r="DCQ9" s="4"/>
      <c r="DCR9" s="4"/>
      <c r="DCS9" s="4"/>
      <c r="DCT9" s="4"/>
      <c r="DCU9" s="4"/>
      <c r="DCV9" s="4"/>
      <c r="DCW9" s="4"/>
      <c r="DCX9" s="4"/>
      <c r="DCY9" s="4"/>
      <c r="DCZ9" s="4"/>
      <c r="DDA9" s="4"/>
      <c r="DDB9" s="4"/>
      <c r="DDC9" s="4"/>
      <c r="DDD9" s="4"/>
      <c r="DDE9" s="4"/>
      <c r="DDF9" s="4"/>
      <c r="DDG9" s="4"/>
      <c r="DDH9" s="4"/>
      <c r="DDI9" s="4"/>
      <c r="DDJ9" s="4"/>
      <c r="DDK9" s="4"/>
      <c r="DDL9" s="4"/>
      <c r="DDM9" s="4"/>
      <c r="DDN9" s="4"/>
      <c r="DDO9" s="4"/>
      <c r="DDP9" s="4"/>
      <c r="DDQ9" s="4"/>
      <c r="DDR9" s="4"/>
      <c r="DDS9" s="4"/>
      <c r="DDT9" s="4"/>
      <c r="DDU9" s="4"/>
      <c r="DDV9" s="4"/>
      <c r="DDW9" s="4"/>
      <c r="DDX9" s="4"/>
      <c r="DDY9" s="4"/>
      <c r="DDZ9" s="4"/>
      <c r="DEA9" s="4"/>
      <c r="DEB9" s="4"/>
      <c r="DEC9" s="4"/>
      <c r="DED9" s="4"/>
      <c r="DEE9" s="4"/>
      <c r="DEF9" s="4"/>
      <c r="DEG9" s="4"/>
      <c r="DEH9" s="4"/>
      <c r="DEI9" s="4"/>
      <c r="DEJ9" s="4"/>
      <c r="DEK9" s="4"/>
      <c r="DEL9" s="4"/>
      <c r="DEM9" s="4"/>
      <c r="DEN9" s="4"/>
      <c r="DEO9" s="4"/>
      <c r="DEP9" s="4"/>
      <c r="DEQ9" s="4"/>
      <c r="DER9" s="4"/>
      <c r="DES9" s="4"/>
      <c r="DET9" s="4"/>
      <c r="DEU9" s="4"/>
      <c r="DEV9" s="4"/>
      <c r="DEW9" s="4"/>
      <c r="DEX9" s="4"/>
      <c r="DEY9" s="4"/>
      <c r="DEZ9" s="4"/>
      <c r="DFA9" s="4"/>
      <c r="DFB9" s="4"/>
      <c r="DFC9" s="4"/>
      <c r="DFD9" s="4"/>
      <c r="DFE9" s="4"/>
      <c r="DFF9" s="4"/>
      <c r="DFG9" s="4"/>
      <c r="DFH9" s="4"/>
      <c r="DFI9" s="4"/>
      <c r="DFJ9" s="4"/>
      <c r="DFK9" s="4"/>
      <c r="DFL9" s="4"/>
      <c r="DFM9" s="4"/>
      <c r="DFN9" s="4"/>
      <c r="DFO9" s="4"/>
      <c r="DFP9" s="4"/>
      <c r="DFQ9" s="4"/>
      <c r="DFR9" s="4"/>
      <c r="DFS9" s="4"/>
      <c r="DFT9" s="4"/>
      <c r="DFU9" s="4"/>
      <c r="DFV9" s="4"/>
      <c r="DFW9" s="4"/>
      <c r="DFX9" s="4"/>
      <c r="DFY9" s="4"/>
      <c r="DFZ9" s="4"/>
      <c r="DGA9" s="4"/>
      <c r="DGB9" s="4"/>
      <c r="DGC9" s="4"/>
      <c r="DGD9" s="4"/>
      <c r="DGE9" s="4"/>
      <c r="DGF9" s="4"/>
      <c r="DGG9" s="4"/>
      <c r="DGH9" s="4"/>
      <c r="DGI9" s="4"/>
      <c r="DGJ9" s="4"/>
      <c r="DGK9" s="4"/>
      <c r="DGL9" s="4"/>
      <c r="DGM9" s="4"/>
      <c r="DGN9" s="4"/>
      <c r="DGO9" s="4"/>
      <c r="DGP9" s="4"/>
      <c r="DGQ9" s="4"/>
      <c r="DGR9" s="4"/>
      <c r="DGS9" s="4"/>
      <c r="DGT9" s="4"/>
      <c r="DGU9" s="4"/>
      <c r="DGV9" s="4"/>
      <c r="DGW9" s="4"/>
      <c r="DGX9" s="4"/>
      <c r="DGY9" s="4"/>
      <c r="DGZ9" s="4"/>
      <c r="DHA9" s="4"/>
      <c r="DHB9" s="4"/>
      <c r="DHC9" s="4"/>
      <c r="DHD9" s="4"/>
      <c r="DHE9" s="4"/>
      <c r="DHF9" s="4"/>
      <c r="DHG9" s="4"/>
      <c r="DHH9" s="4"/>
      <c r="DHI9" s="4"/>
      <c r="DHJ9" s="4"/>
      <c r="DHK9" s="4"/>
      <c r="DHL9" s="4"/>
      <c r="DHM9" s="4"/>
      <c r="DHN9" s="4"/>
      <c r="DHO9" s="4"/>
      <c r="DHP9" s="4"/>
      <c r="DHQ9" s="4"/>
      <c r="DHR9" s="4"/>
      <c r="DHS9" s="4"/>
      <c r="DHT9" s="4"/>
      <c r="DHU9" s="4"/>
      <c r="DHV9" s="4"/>
      <c r="DHW9" s="4"/>
      <c r="DHX9" s="4"/>
      <c r="DHY9" s="4"/>
      <c r="DHZ9" s="4"/>
      <c r="DIA9" s="4"/>
      <c r="DIB9" s="4"/>
      <c r="DIC9" s="4"/>
      <c r="DID9" s="4"/>
      <c r="DIE9" s="4"/>
      <c r="DIF9" s="4"/>
      <c r="DIG9" s="4"/>
      <c r="DIH9" s="4"/>
      <c r="DII9" s="4"/>
      <c r="DIJ9" s="4"/>
      <c r="DIK9" s="4"/>
      <c r="DIL9" s="4"/>
      <c r="DIM9" s="4"/>
      <c r="DIN9" s="4"/>
      <c r="DIO9" s="4"/>
      <c r="DIP9" s="4"/>
      <c r="DIQ9" s="4"/>
      <c r="DIR9" s="4"/>
      <c r="DIS9" s="4"/>
      <c r="DIT9" s="4"/>
      <c r="DIU9" s="4"/>
      <c r="DIV9" s="4"/>
      <c r="DIW9" s="4"/>
      <c r="DIX9" s="4"/>
      <c r="DIY9" s="4"/>
      <c r="DIZ9" s="4"/>
      <c r="DJA9" s="4"/>
      <c r="DJB9" s="4"/>
      <c r="DJC9" s="4"/>
      <c r="DJD9" s="4"/>
      <c r="DJE9" s="4"/>
      <c r="DJF9" s="4"/>
      <c r="DJG9" s="4"/>
      <c r="DJH9" s="4"/>
      <c r="DJI9" s="4"/>
      <c r="DJJ9" s="4"/>
      <c r="DJK9" s="4"/>
      <c r="DJL9" s="4"/>
      <c r="DJM9" s="4"/>
      <c r="DJN9" s="4"/>
      <c r="DJO9" s="4"/>
      <c r="DJP9" s="4"/>
      <c r="DJQ9" s="4"/>
      <c r="DJR9" s="4"/>
      <c r="DJS9" s="4"/>
      <c r="DJT9" s="4"/>
      <c r="DJU9" s="4"/>
      <c r="DJV9" s="4"/>
      <c r="DJW9" s="4"/>
      <c r="DJX9" s="4"/>
      <c r="DJY9" s="4"/>
      <c r="DJZ9" s="4"/>
      <c r="DKA9" s="4"/>
      <c r="DKB9" s="4"/>
      <c r="DKC9" s="4"/>
      <c r="DKD9" s="4"/>
      <c r="DKE9" s="4"/>
      <c r="DKF9" s="4"/>
      <c r="DKG9" s="4"/>
      <c r="DKH9" s="4"/>
      <c r="DKI9" s="4"/>
      <c r="DKJ9" s="4"/>
      <c r="DKK9" s="4"/>
      <c r="DKL9" s="4"/>
      <c r="DKM9" s="4"/>
      <c r="DKN9" s="4"/>
      <c r="DKO9" s="4"/>
      <c r="DKP9" s="4"/>
      <c r="DKQ9" s="4"/>
      <c r="DKR9" s="4"/>
      <c r="DKS9" s="4"/>
      <c r="DKT9" s="4"/>
      <c r="DKU9" s="4"/>
      <c r="DKV9" s="4"/>
      <c r="DKW9" s="4"/>
      <c r="DKX9" s="4"/>
      <c r="DKY9" s="4"/>
      <c r="DKZ9" s="4"/>
      <c r="DLA9" s="4"/>
      <c r="DLB9" s="4"/>
      <c r="DLC9" s="4"/>
      <c r="DLD9" s="4"/>
      <c r="DLE9" s="4"/>
      <c r="DLF9" s="4"/>
      <c r="DLG9" s="4"/>
      <c r="DLH9" s="4"/>
      <c r="DLI9" s="4"/>
      <c r="DLJ9" s="4"/>
      <c r="DLK9" s="4"/>
      <c r="DLL9" s="4"/>
      <c r="DLM9" s="4"/>
      <c r="DLN9" s="4"/>
      <c r="DLO9" s="4"/>
      <c r="DLP9" s="4"/>
      <c r="DLQ9" s="4"/>
      <c r="DLR9" s="4"/>
      <c r="DLS9" s="4"/>
      <c r="DLT9" s="4"/>
      <c r="DLU9" s="4"/>
      <c r="DLV9" s="4"/>
      <c r="DLW9" s="4"/>
      <c r="DLX9" s="4"/>
      <c r="DLY9" s="4"/>
      <c r="DLZ9" s="4"/>
      <c r="DMA9" s="4"/>
      <c r="DMB9" s="4"/>
      <c r="DMC9" s="4"/>
      <c r="DMD9" s="4"/>
      <c r="DME9" s="4"/>
      <c r="DMF9" s="4"/>
      <c r="DMG9" s="4"/>
      <c r="DMH9" s="4"/>
      <c r="DMI9" s="4"/>
      <c r="DMJ9" s="4"/>
      <c r="DMK9" s="4"/>
      <c r="DML9" s="4"/>
      <c r="DMM9" s="4"/>
      <c r="DMN9" s="4"/>
      <c r="DMO9" s="4"/>
      <c r="DMP9" s="4"/>
      <c r="DMQ9" s="4"/>
      <c r="DMR9" s="4"/>
      <c r="DMS9" s="4"/>
      <c r="DMT9" s="4"/>
      <c r="DMU9" s="4"/>
      <c r="DMV9" s="4"/>
      <c r="DMW9" s="4"/>
      <c r="DMX9" s="4"/>
      <c r="DMY9" s="4"/>
      <c r="DMZ9" s="4"/>
      <c r="DNA9" s="4"/>
      <c r="DNB9" s="4"/>
      <c r="DNC9" s="4"/>
      <c r="DND9" s="4"/>
      <c r="DNE9" s="4"/>
      <c r="DNF9" s="4"/>
      <c r="DNG9" s="4"/>
      <c r="DNH9" s="4"/>
      <c r="DNI9" s="4"/>
      <c r="DNJ9" s="4"/>
      <c r="DNK9" s="4"/>
      <c r="DNL9" s="4"/>
      <c r="DNM9" s="4"/>
      <c r="DNN9" s="4"/>
      <c r="DNO9" s="4"/>
      <c r="DNP9" s="4"/>
      <c r="DNQ9" s="4"/>
      <c r="DNR9" s="4"/>
      <c r="DNS9" s="4"/>
      <c r="DNT9" s="4"/>
      <c r="DNU9" s="4"/>
      <c r="DNV9" s="4"/>
      <c r="DNW9" s="4"/>
      <c r="DNX9" s="4"/>
      <c r="DNY9" s="4"/>
      <c r="DNZ9" s="4"/>
      <c r="DOA9" s="4"/>
      <c r="DOB9" s="4"/>
      <c r="DOC9" s="4"/>
      <c r="DOD9" s="4"/>
      <c r="DOE9" s="4"/>
      <c r="DOF9" s="4"/>
      <c r="DOG9" s="4"/>
      <c r="DOH9" s="4"/>
      <c r="DOI9" s="4"/>
      <c r="DOJ9" s="4"/>
      <c r="DOK9" s="4"/>
      <c r="DOL9" s="4"/>
      <c r="DOM9" s="4"/>
      <c r="DON9" s="4"/>
      <c r="DOO9" s="4"/>
      <c r="DOP9" s="4"/>
      <c r="DOQ9" s="4"/>
      <c r="DOR9" s="4"/>
      <c r="DOS9" s="4"/>
      <c r="DOT9" s="4"/>
      <c r="DOU9" s="4"/>
      <c r="DOV9" s="4"/>
      <c r="DOW9" s="4"/>
      <c r="DOX9" s="4"/>
      <c r="DOY9" s="4"/>
      <c r="DOZ9" s="4"/>
      <c r="DPA9" s="4"/>
      <c r="DPB9" s="4"/>
      <c r="DPC9" s="4"/>
      <c r="DPD9" s="4"/>
      <c r="DPE9" s="4"/>
      <c r="DPF9" s="4"/>
      <c r="DPG9" s="4"/>
      <c r="DPH9" s="4"/>
      <c r="DPI9" s="4"/>
      <c r="DPJ9" s="4"/>
      <c r="DPK9" s="4"/>
      <c r="DPL9" s="4"/>
      <c r="DPM9" s="4"/>
      <c r="DPN9" s="4"/>
      <c r="DPO9" s="4"/>
      <c r="DPP9" s="4"/>
      <c r="DPQ9" s="4"/>
      <c r="DPR9" s="4"/>
      <c r="DPS9" s="4"/>
      <c r="DPT9" s="4"/>
      <c r="DPU9" s="4"/>
      <c r="DPV9" s="4"/>
      <c r="DPW9" s="4"/>
      <c r="DPX9" s="4"/>
      <c r="DPY9" s="4"/>
      <c r="DPZ9" s="4"/>
      <c r="DQA9" s="4"/>
      <c r="DQB9" s="4"/>
      <c r="DQC9" s="4"/>
      <c r="DQD9" s="4"/>
      <c r="DQE9" s="4"/>
      <c r="DQF9" s="4"/>
      <c r="DQG9" s="4"/>
      <c r="DQH9" s="4"/>
      <c r="DQI9" s="4"/>
      <c r="DQJ9" s="4"/>
      <c r="DQK9" s="4"/>
      <c r="DQL9" s="4"/>
      <c r="DQM9" s="4"/>
      <c r="DQN9" s="4"/>
      <c r="DQO9" s="4"/>
      <c r="DQP9" s="4"/>
      <c r="DQQ9" s="4"/>
      <c r="DQR9" s="4"/>
      <c r="DQS9" s="4"/>
      <c r="DQT9" s="4"/>
      <c r="DQU9" s="4"/>
      <c r="DQV9" s="4"/>
      <c r="DQW9" s="4"/>
      <c r="DQX9" s="4"/>
      <c r="DQY9" s="4"/>
      <c r="DQZ9" s="4"/>
      <c r="DRA9" s="4"/>
      <c r="DRB9" s="4"/>
      <c r="DRC9" s="4"/>
      <c r="DRD9" s="4"/>
      <c r="DRE9" s="4"/>
      <c r="DRF9" s="4"/>
      <c r="DRG9" s="4"/>
      <c r="DRH9" s="4"/>
      <c r="DRI9" s="4"/>
      <c r="DRJ9" s="4"/>
      <c r="DRK9" s="4"/>
      <c r="DRL9" s="4"/>
      <c r="DRM9" s="4"/>
      <c r="DRN9" s="4"/>
      <c r="DRO9" s="4"/>
      <c r="DRP9" s="4"/>
      <c r="DRQ9" s="4"/>
      <c r="DRR9" s="4"/>
      <c r="DRS9" s="4"/>
      <c r="DRT9" s="4"/>
      <c r="DRU9" s="4"/>
      <c r="DRV9" s="4"/>
      <c r="DRW9" s="4"/>
      <c r="DRX9" s="4"/>
      <c r="DRY9" s="4"/>
      <c r="DRZ9" s="4"/>
      <c r="DSA9" s="4"/>
      <c r="DSB9" s="4"/>
      <c r="DSC9" s="4"/>
      <c r="DSD9" s="4"/>
      <c r="DSE9" s="4"/>
      <c r="DSF9" s="4"/>
      <c r="DSG9" s="4"/>
      <c r="DSH9" s="4"/>
      <c r="DSI9" s="4"/>
      <c r="DSJ9" s="4"/>
      <c r="DSK9" s="4"/>
      <c r="DSL9" s="4"/>
      <c r="DSM9" s="4"/>
      <c r="DSN9" s="4"/>
      <c r="DSO9" s="4"/>
      <c r="DSP9" s="4"/>
      <c r="DSQ9" s="4"/>
      <c r="DSR9" s="4"/>
      <c r="DSS9" s="4"/>
      <c r="DST9" s="4"/>
      <c r="DSU9" s="4"/>
      <c r="DSV9" s="4"/>
      <c r="DSW9" s="4"/>
      <c r="DSX9" s="4"/>
      <c r="DSY9" s="4"/>
      <c r="DSZ9" s="4"/>
      <c r="DTA9" s="4"/>
      <c r="DTB9" s="4"/>
      <c r="DTC9" s="4"/>
      <c r="DTD9" s="4"/>
      <c r="DTE9" s="4"/>
      <c r="DTF9" s="4"/>
      <c r="DTG9" s="4"/>
      <c r="DTH9" s="4"/>
      <c r="DTI9" s="4"/>
      <c r="DTJ9" s="4"/>
      <c r="DTK9" s="4"/>
      <c r="DTL9" s="4"/>
      <c r="DTM9" s="4"/>
      <c r="DTN9" s="4"/>
      <c r="DTO9" s="4"/>
      <c r="DTP9" s="4"/>
      <c r="DTQ9" s="4"/>
      <c r="DTR9" s="4"/>
      <c r="DTS9" s="4"/>
      <c r="DTT9" s="4"/>
      <c r="DTU9" s="4"/>
      <c r="DTV9" s="4"/>
      <c r="DTW9" s="4"/>
      <c r="DTX9" s="4"/>
      <c r="DTY9" s="4"/>
      <c r="DTZ9" s="4"/>
      <c r="DUA9" s="4"/>
      <c r="DUB9" s="4"/>
      <c r="DUC9" s="4"/>
      <c r="DUD9" s="4"/>
      <c r="DUE9" s="4"/>
      <c r="DUF9" s="4"/>
      <c r="DUG9" s="4"/>
      <c r="DUH9" s="4"/>
      <c r="DUI9" s="4"/>
      <c r="DUJ9" s="4"/>
      <c r="DUK9" s="4"/>
      <c r="DUL9" s="4"/>
      <c r="DUM9" s="4"/>
      <c r="DUN9" s="4"/>
      <c r="DUO9" s="4"/>
      <c r="DUP9" s="4"/>
      <c r="DUQ9" s="4"/>
      <c r="DUR9" s="4"/>
      <c r="DUS9" s="4"/>
      <c r="DUT9" s="4"/>
      <c r="DUU9" s="4"/>
      <c r="DUV9" s="4"/>
      <c r="DUW9" s="4"/>
      <c r="DUX9" s="4"/>
      <c r="DUY9" s="4"/>
      <c r="DUZ9" s="4"/>
      <c r="DVA9" s="4"/>
      <c r="DVB9" s="4"/>
      <c r="DVC9" s="4"/>
      <c r="DVD9" s="4"/>
      <c r="DVE9" s="4"/>
      <c r="DVF9" s="4"/>
      <c r="DVG9" s="4"/>
      <c r="DVH9" s="4"/>
      <c r="DVI9" s="4"/>
      <c r="DVJ9" s="4"/>
      <c r="DVK9" s="4"/>
      <c r="DVL9" s="4"/>
      <c r="DVM9" s="4"/>
      <c r="DVN9" s="4"/>
      <c r="DVO9" s="4"/>
      <c r="DVP9" s="4"/>
      <c r="DVQ9" s="4"/>
      <c r="DVR9" s="4"/>
      <c r="DVS9" s="4"/>
      <c r="DVT9" s="4"/>
      <c r="DVU9" s="4"/>
      <c r="DVV9" s="4"/>
      <c r="DVW9" s="4"/>
      <c r="DVX9" s="4"/>
      <c r="DVY9" s="4"/>
      <c r="DVZ9" s="4"/>
      <c r="DWA9" s="4"/>
      <c r="DWB9" s="4"/>
      <c r="DWC9" s="4"/>
      <c r="DWD9" s="4"/>
      <c r="DWE9" s="4"/>
      <c r="DWF9" s="4"/>
      <c r="DWG9" s="4"/>
      <c r="DWH9" s="4"/>
      <c r="DWI9" s="4"/>
      <c r="DWJ9" s="4"/>
      <c r="DWK9" s="4"/>
      <c r="DWL9" s="4"/>
      <c r="DWM9" s="4"/>
      <c r="DWN9" s="4"/>
      <c r="DWO9" s="4"/>
      <c r="DWP9" s="4"/>
      <c r="DWQ9" s="4"/>
      <c r="DWR9" s="4"/>
      <c r="DWS9" s="4"/>
      <c r="DWT9" s="4"/>
      <c r="DWU9" s="4"/>
      <c r="DWV9" s="4"/>
      <c r="DWW9" s="4"/>
      <c r="DWX9" s="4"/>
      <c r="DWY9" s="4"/>
      <c r="DWZ9" s="4"/>
      <c r="DXA9" s="4"/>
      <c r="DXB9" s="4"/>
      <c r="DXC9" s="4"/>
      <c r="DXD9" s="4"/>
      <c r="DXE9" s="4"/>
      <c r="DXF9" s="4"/>
      <c r="DXG9" s="4"/>
      <c r="DXH9" s="4"/>
      <c r="DXI9" s="4"/>
      <c r="DXJ9" s="4"/>
      <c r="DXK9" s="4"/>
      <c r="DXL9" s="4"/>
      <c r="DXM9" s="4"/>
      <c r="DXN9" s="4"/>
      <c r="DXO9" s="4"/>
      <c r="DXP9" s="4"/>
      <c r="DXQ9" s="4"/>
      <c r="DXR9" s="4"/>
      <c r="DXS9" s="4"/>
      <c r="DXT9" s="4"/>
      <c r="DXU9" s="4"/>
      <c r="DXV9" s="4"/>
      <c r="DXW9" s="4"/>
      <c r="DXX9" s="4"/>
      <c r="DXY9" s="4"/>
      <c r="DXZ9" s="4"/>
      <c r="DYA9" s="4"/>
      <c r="DYB9" s="4"/>
      <c r="DYC9" s="4"/>
      <c r="DYD9" s="4"/>
      <c r="DYE9" s="4"/>
      <c r="DYF9" s="4"/>
      <c r="DYG9" s="4"/>
      <c r="DYH9" s="4"/>
      <c r="DYI9" s="4"/>
      <c r="DYJ9" s="4"/>
      <c r="DYK9" s="4"/>
      <c r="DYL9" s="4"/>
      <c r="DYM9" s="4"/>
      <c r="DYN9" s="4"/>
      <c r="DYO9" s="4"/>
      <c r="DYP9" s="4"/>
      <c r="DYQ9" s="4"/>
      <c r="DYR9" s="4"/>
      <c r="DYS9" s="4"/>
      <c r="DYT9" s="4"/>
      <c r="DYU9" s="4"/>
      <c r="DYV9" s="4"/>
      <c r="DYW9" s="4"/>
      <c r="DYX9" s="4"/>
      <c r="DYY9" s="4"/>
      <c r="DYZ9" s="4"/>
      <c r="DZA9" s="4"/>
      <c r="DZB9" s="4"/>
      <c r="DZC9" s="4"/>
      <c r="DZD9" s="4"/>
      <c r="DZE9" s="4"/>
      <c r="DZF9" s="4"/>
      <c r="DZG9" s="4"/>
      <c r="DZH9" s="4"/>
      <c r="DZI9" s="4"/>
      <c r="DZJ9" s="4"/>
      <c r="DZK9" s="4"/>
      <c r="DZL9" s="4"/>
      <c r="DZM9" s="4"/>
      <c r="DZN9" s="4"/>
      <c r="DZO9" s="4"/>
      <c r="DZP9" s="4"/>
      <c r="DZQ9" s="4"/>
      <c r="DZR9" s="4"/>
      <c r="DZS9" s="4"/>
      <c r="DZT9" s="4"/>
      <c r="DZU9" s="4"/>
      <c r="DZV9" s="4"/>
      <c r="DZW9" s="4"/>
      <c r="DZX9" s="4"/>
      <c r="DZY9" s="4"/>
      <c r="DZZ9" s="4"/>
      <c r="EAA9" s="4"/>
      <c r="EAB9" s="4"/>
      <c r="EAC9" s="4"/>
      <c r="EAD9" s="4"/>
      <c r="EAE9" s="4"/>
      <c r="EAF9" s="4"/>
      <c r="EAG9" s="4"/>
      <c r="EAH9" s="4"/>
      <c r="EAI9" s="4"/>
      <c r="EAJ9" s="4"/>
      <c r="EAK9" s="4"/>
      <c r="EAL9" s="4"/>
      <c r="EAM9" s="4"/>
      <c r="EAN9" s="4"/>
      <c r="EAO9" s="4"/>
      <c r="EAP9" s="4"/>
      <c r="EAQ9" s="4"/>
      <c r="EAR9" s="4"/>
      <c r="EAS9" s="4"/>
      <c r="EAT9" s="4"/>
      <c r="EAU9" s="4"/>
      <c r="EAV9" s="4"/>
      <c r="EAW9" s="4"/>
      <c r="EAX9" s="4"/>
      <c r="EAY9" s="4"/>
      <c r="EAZ9" s="4"/>
      <c r="EBA9" s="4"/>
      <c r="EBB9" s="4"/>
      <c r="EBC9" s="4"/>
      <c r="EBD9" s="4"/>
      <c r="EBE9" s="4"/>
      <c r="EBF9" s="4"/>
      <c r="EBG9" s="4"/>
      <c r="EBH9" s="4"/>
      <c r="EBI9" s="4"/>
      <c r="EBJ9" s="4"/>
      <c r="EBK9" s="4"/>
      <c r="EBL9" s="4"/>
      <c r="EBM9" s="4"/>
      <c r="EBN9" s="4"/>
      <c r="EBO9" s="4"/>
      <c r="EBP9" s="4"/>
      <c r="EBQ9" s="4"/>
      <c r="EBR9" s="4"/>
      <c r="EBS9" s="4"/>
      <c r="EBT9" s="4"/>
      <c r="EBU9" s="4"/>
      <c r="EBV9" s="4"/>
      <c r="EBW9" s="4"/>
      <c r="EBX9" s="4"/>
      <c r="EBY9" s="4"/>
      <c r="EBZ9" s="4"/>
      <c r="ECA9" s="4"/>
      <c r="ECB9" s="4"/>
      <c r="ECC9" s="4"/>
      <c r="ECD9" s="4"/>
      <c r="ECE9" s="4"/>
      <c r="ECF9" s="4"/>
      <c r="ECG9" s="4"/>
      <c r="ECH9" s="4"/>
      <c r="ECI9" s="4"/>
      <c r="ECJ9" s="4"/>
      <c r="ECK9" s="4"/>
      <c r="ECL9" s="4"/>
      <c r="ECM9" s="4"/>
      <c r="ECN9" s="4"/>
      <c r="ECO9" s="4"/>
      <c r="ECP9" s="4"/>
      <c r="ECQ9" s="4"/>
      <c r="ECR9" s="4"/>
      <c r="ECS9" s="4"/>
      <c r="ECT9" s="4"/>
      <c r="ECU9" s="4"/>
      <c r="ECV9" s="4"/>
      <c r="ECW9" s="4"/>
      <c r="ECX9" s="4"/>
      <c r="ECY9" s="4"/>
      <c r="ECZ9" s="4"/>
      <c r="EDA9" s="4"/>
      <c r="EDB9" s="4"/>
      <c r="EDC9" s="4"/>
      <c r="EDD9" s="4"/>
      <c r="EDE9" s="4"/>
      <c r="EDF9" s="4"/>
      <c r="EDG9" s="4"/>
      <c r="EDH9" s="4"/>
      <c r="EDI9" s="4"/>
      <c r="EDJ9" s="4"/>
      <c r="EDK9" s="4"/>
      <c r="EDL9" s="4"/>
      <c r="EDM9" s="4"/>
      <c r="EDN9" s="4"/>
      <c r="EDO9" s="4"/>
      <c r="EDP9" s="4"/>
      <c r="EDQ9" s="4"/>
      <c r="EDR9" s="4"/>
      <c r="EDS9" s="4"/>
      <c r="EDT9" s="4"/>
      <c r="EDU9" s="4"/>
      <c r="EDV9" s="4"/>
      <c r="EDW9" s="4"/>
      <c r="EDX9" s="4"/>
      <c r="EDY9" s="4"/>
      <c r="EDZ9" s="4"/>
      <c r="EEA9" s="4"/>
      <c r="EEB9" s="4"/>
      <c r="EEC9" s="4"/>
      <c r="EED9" s="4"/>
      <c r="EEE9" s="4"/>
      <c r="EEF9" s="4"/>
      <c r="EEG9" s="4"/>
      <c r="EEH9" s="4"/>
      <c r="EEI9" s="4"/>
      <c r="EEJ9" s="4"/>
      <c r="EEK9" s="4"/>
      <c r="EEL9" s="4"/>
      <c r="EEM9" s="4"/>
      <c r="EEN9" s="4"/>
      <c r="EEO9" s="4"/>
      <c r="EEP9" s="4"/>
      <c r="EEQ9" s="4"/>
      <c r="EER9" s="4"/>
      <c r="EES9" s="4"/>
      <c r="EET9" s="4"/>
      <c r="EEU9" s="4"/>
      <c r="EEV9" s="4"/>
      <c r="EEW9" s="4"/>
      <c r="EEX9" s="4"/>
      <c r="EEY9" s="4"/>
      <c r="EEZ9" s="4"/>
      <c r="EFA9" s="4"/>
      <c r="EFB9" s="4"/>
      <c r="EFC9" s="4"/>
      <c r="EFD9" s="4"/>
      <c r="EFE9" s="4"/>
      <c r="EFF9" s="4"/>
      <c r="EFG9" s="4"/>
      <c r="EFH9" s="4"/>
      <c r="EFI9" s="4"/>
      <c r="EFJ9" s="4"/>
      <c r="EFK9" s="4"/>
      <c r="EFL9" s="4"/>
      <c r="EFM9" s="4"/>
      <c r="EFN9" s="4"/>
      <c r="EFO9" s="4"/>
      <c r="EFP9" s="4"/>
      <c r="EFQ9" s="4"/>
      <c r="EFR9" s="4"/>
      <c r="EFS9" s="4"/>
      <c r="EFT9" s="4"/>
      <c r="EFU9" s="4"/>
      <c r="EFV9" s="4"/>
      <c r="EFW9" s="4"/>
      <c r="EFX9" s="4"/>
      <c r="EFY9" s="4"/>
      <c r="EFZ9" s="4"/>
      <c r="EGA9" s="4"/>
      <c r="EGB9" s="4"/>
      <c r="EGC9" s="4"/>
      <c r="EGD9" s="4"/>
      <c r="EGE9" s="4"/>
      <c r="EGF9" s="4"/>
      <c r="EGG9" s="4"/>
      <c r="EGH9" s="4"/>
      <c r="EGI9" s="4"/>
      <c r="EGJ9" s="4"/>
      <c r="EGK9" s="4"/>
      <c r="EGL9" s="4"/>
      <c r="EGM9" s="4"/>
      <c r="EGN9" s="4"/>
      <c r="EGO9" s="4"/>
      <c r="EGP9" s="4"/>
      <c r="EGQ9" s="4"/>
      <c r="EGR9" s="4"/>
      <c r="EGS9" s="4"/>
      <c r="EGT9" s="4"/>
      <c r="EGU9" s="4"/>
      <c r="EGV9" s="4"/>
      <c r="EGW9" s="4"/>
      <c r="EGX9" s="4"/>
      <c r="EGY9" s="4"/>
      <c r="EGZ9" s="4"/>
      <c r="EHA9" s="4"/>
      <c r="EHB9" s="4"/>
      <c r="EHC9" s="4"/>
      <c r="EHD9" s="4"/>
      <c r="EHE9" s="4"/>
      <c r="EHF9" s="4"/>
      <c r="EHG9" s="4"/>
      <c r="EHH9" s="4"/>
      <c r="EHI9" s="4"/>
      <c r="EHJ9" s="4"/>
      <c r="EHK9" s="4"/>
      <c r="EHL9" s="4"/>
      <c r="EHM9" s="4"/>
      <c r="EHN9" s="4"/>
      <c r="EHO9" s="4"/>
      <c r="EHP9" s="4"/>
      <c r="EHQ9" s="4"/>
      <c r="EHR9" s="4"/>
      <c r="EHS9" s="4"/>
      <c r="EHT9" s="4"/>
      <c r="EHU9" s="4"/>
      <c r="EHV9" s="4"/>
      <c r="EHW9" s="4"/>
      <c r="EHX9" s="4"/>
      <c r="EHY9" s="4"/>
      <c r="EHZ9" s="4"/>
      <c r="EIA9" s="4"/>
      <c r="EIB9" s="4"/>
      <c r="EIC9" s="4"/>
      <c r="EID9" s="4"/>
      <c r="EIE9" s="4"/>
      <c r="EIF9" s="4"/>
      <c r="EIG9" s="4"/>
      <c r="EIH9" s="4"/>
      <c r="EII9" s="4"/>
      <c r="EIJ9" s="4"/>
      <c r="EIK9" s="4"/>
      <c r="EIL9" s="4"/>
      <c r="EIM9" s="4"/>
      <c r="EIN9" s="4"/>
      <c r="EIO9" s="4"/>
      <c r="EIP9" s="4"/>
      <c r="EIQ9" s="4"/>
      <c r="EIR9" s="4"/>
      <c r="EIS9" s="4"/>
      <c r="EIT9" s="4"/>
      <c r="EIU9" s="4"/>
      <c r="EIV9" s="4"/>
      <c r="EIW9" s="4"/>
      <c r="EIX9" s="4"/>
      <c r="EIY9" s="4"/>
      <c r="EIZ9" s="4"/>
      <c r="EJA9" s="4"/>
      <c r="EJB9" s="4"/>
      <c r="EJC9" s="4"/>
      <c r="EJD9" s="4"/>
      <c r="EJE9" s="4"/>
      <c r="EJF9" s="4"/>
      <c r="EJG9" s="4"/>
      <c r="EJH9" s="4"/>
      <c r="EJI9" s="4"/>
      <c r="EJJ9" s="4"/>
      <c r="EJK9" s="4"/>
      <c r="EJL9" s="4"/>
      <c r="EJM9" s="4"/>
      <c r="EJN9" s="4"/>
      <c r="EJO9" s="4"/>
      <c r="EJP9" s="4"/>
      <c r="EJQ9" s="4"/>
      <c r="EJR9" s="4"/>
      <c r="EJS9" s="4"/>
      <c r="EJT9" s="4"/>
      <c r="EJU9" s="4"/>
      <c r="EJV9" s="4"/>
      <c r="EJW9" s="4"/>
      <c r="EJX9" s="4"/>
      <c r="EJY9" s="4"/>
      <c r="EJZ9" s="4"/>
      <c r="EKA9" s="4"/>
      <c r="EKB9" s="4"/>
      <c r="EKC9" s="4"/>
      <c r="EKD9" s="4"/>
      <c r="EKE9" s="4"/>
      <c r="EKF9" s="4"/>
      <c r="EKG9" s="4"/>
      <c r="EKH9" s="4"/>
      <c r="EKI9" s="4"/>
      <c r="EKJ9" s="4"/>
      <c r="EKK9" s="4"/>
      <c r="EKL9" s="4"/>
      <c r="EKM9" s="4"/>
      <c r="EKN9" s="4"/>
      <c r="EKO9" s="4"/>
      <c r="EKP9" s="4"/>
      <c r="EKQ9" s="4"/>
      <c r="EKR9" s="4"/>
      <c r="EKS9" s="4"/>
      <c r="EKT9" s="4"/>
      <c r="EKU9" s="4"/>
      <c r="EKV9" s="4"/>
      <c r="EKW9" s="4"/>
      <c r="EKX9" s="4"/>
      <c r="EKY9" s="4"/>
      <c r="EKZ9" s="4"/>
      <c r="ELA9" s="4"/>
      <c r="ELB9" s="4"/>
      <c r="ELC9" s="4"/>
      <c r="ELD9" s="4"/>
      <c r="ELE9" s="4"/>
      <c r="ELF9" s="4"/>
      <c r="ELG9" s="4"/>
      <c r="ELH9" s="4"/>
      <c r="ELI9" s="4"/>
      <c r="ELJ9" s="4"/>
      <c r="ELK9" s="4"/>
      <c r="ELL9" s="4"/>
      <c r="ELM9" s="4"/>
      <c r="ELN9" s="4"/>
      <c r="ELO9" s="4"/>
      <c r="ELP9" s="4"/>
      <c r="ELQ9" s="4"/>
      <c r="ELR9" s="4"/>
      <c r="ELS9" s="4"/>
      <c r="ELT9" s="4"/>
      <c r="ELU9" s="4"/>
      <c r="ELV9" s="4"/>
      <c r="ELW9" s="4"/>
      <c r="ELX9" s="4"/>
      <c r="ELY9" s="4"/>
      <c r="ELZ9" s="4"/>
      <c r="EMA9" s="4"/>
      <c r="EMB9" s="4"/>
      <c r="EMC9" s="4"/>
      <c r="EMD9" s="4"/>
      <c r="EME9" s="4"/>
      <c r="EMF9" s="4"/>
      <c r="EMG9" s="4"/>
      <c r="EMH9" s="4"/>
      <c r="EMI9" s="4"/>
      <c r="EMJ9" s="4"/>
      <c r="EMK9" s="4"/>
      <c r="EML9" s="4"/>
      <c r="EMM9" s="4"/>
      <c r="EMN9" s="4"/>
      <c r="EMO9" s="4"/>
      <c r="EMP9" s="4"/>
      <c r="EMQ9" s="4"/>
      <c r="EMR9" s="4"/>
      <c r="EMS9" s="4"/>
      <c r="EMT9" s="4"/>
      <c r="EMU9" s="4"/>
      <c r="EMV9" s="4"/>
      <c r="EMW9" s="4"/>
      <c r="EMX9" s="4"/>
      <c r="EMY9" s="4"/>
      <c r="EMZ9" s="4"/>
      <c r="ENA9" s="4"/>
      <c r="ENB9" s="4"/>
      <c r="ENC9" s="4"/>
      <c r="END9" s="4"/>
      <c r="ENE9" s="4"/>
      <c r="ENF9" s="4"/>
      <c r="ENG9" s="4"/>
      <c r="ENH9" s="4"/>
      <c r="ENI9" s="4"/>
      <c r="ENJ9" s="4"/>
      <c r="ENK9" s="4"/>
      <c r="ENL9" s="4"/>
      <c r="ENM9" s="4"/>
      <c r="ENN9" s="4"/>
      <c r="ENO9" s="4"/>
      <c r="ENP9" s="4"/>
      <c r="ENQ9" s="4"/>
      <c r="ENR9" s="4"/>
      <c r="ENS9" s="4"/>
      <c r="ENT9" s="4"/>
      <c r="ENU9" s="4"/>
      <c r="ENV9" s="4"/>
      <c r="ENW9" s="4"/>
      <c r="ENX9" s="4"/>
      <c r="ENY9" s="4"/>
      <c r="ENZ9" s="4"/>
      <c r="EOA9" s="4"/>
      <c r="EOB9" s="4"/>
      <c r="EOC9" s="4"/>
      <c r="EOD9" s="4"/>
      <c r="EOE9" s="4"/>
      <c r="EOF9" s="4"/>
      <c r="EOG9" s="4"/>
      <c r="EOH9" s="4"/>
      <c r="EOI9" s="4"/>
      <c r="EOJ9" s="4"/>
      <c r="EOK9" s="4"/>
      <c r="EOL9" s="4"/>
      <c r="EOM9" s="4"/>
      <c r="EON9" s="4"/>
      <c r="EOO9" s="4"/>
      <c r="EOP9" s="4"/>
      <c r="EOQ9" s="4"/>
      <c r="EOR9" s="4"/>
      <c r="EOS9" s="4"/>
      <c r="EOT9" s="4"/>
      <c r="EOU9" s="4"/>
      <c r="EOV9" s="4"/>
      <c r="EOW9" s="4"/>
      <c r="EOX9" s="4"/>
      <c r="EOY9" s="4"/>
      <c r="EOZ9" s="4"/>
      <c r="EPA9" s="4"/>
      <c r="EPB9" s="4"/>
      <c r="EPC9" s="4"/>
      <c r="EPD9" s="4"/>
      <c r="EPE9" s="4"/>
      <c r="EPF9" s="4"/>
      <c r="EPG9" s="4"/>
      <c r="EPH9" s="4"/>
      <c r="EPI9" s="4"/>
      <c r="EPJ9" s="4"/>
      <c r="EPK9" s="4"/>
      <c r="EPL9" s="4"/>
      <c r="EPM9" s="4"/>
      <c r="EPN9" s="4"/>
      <c r="EPO9" s="4"/>
      <c r="EPP9" s="4"/>
      <c r="EPQ9" s="4"/>
      <c r="EPR9" s="4"/>
      <c r="EPS9" s="4"/>
      <c r="EPT9" s="4"/>
      <c r="EPU9" s="4"/>
      <c r="EPV9" s="4"/>
      <c r="EPW9" s="4"/>
      <c r="EPX9" s="4"/>
      <c r="EPY9" s="4"/>
      <c r="EPZ9" s="4"/>
      <c r="EQA9" s="4"/>
      <c r="EQB9" s="4"/>
      <c r="EQC9" s="4"/>
      <c r="EQD9" s="4"/>
      <c r="EQE9" s="4"/>
      <c r="EQF9" s="4"/>
      <c r="EQG9" s="4"/>
      <c r="EQH9" s="4"/>
      <c r="EQI9" s="4"/>
      <c r="EQJ9" s="4"/>
      <c r="EQK9" s="4"/>
      <c r="EQL9" s="4"/>
      <c r="EQM9" s="4"/>
      <c r="EQN9" s="4"/>
      <c r="EQO9" s="4"/>
      <c r="EQP9" s="4"/>
      <c r="EQQ9" s="4"/>
      <c r="EQR9" s="4"/>
      <c r="EQS9" s="4"/>
      <c r="EQT9" s="4"/>
      <c r="EQU9" s="4"/>
      <c r="EQV9" s="4"/>
      <c r="EQW9" s="4"/>
      <c r="EQX9" s="4"/>
      <c r="EQY9" s="4"/>
      <c r="EQZ9" s="4"/>
      <c r="ERA9" s="4"/>
      <c r="ERB9" s="4"/>
      <c r="ERC9" s="4"/>
      <c r="ERD9" s="4"/>
      <c r="ERE9" s="4"/>
      <c r="ERF9" s="4"/>
      <c r="ERG9" s="4"/>
      <c r="ERH9" s="4"/>
      <c r="ERI9" s="4"/>
      <c r="ERJ9" s="4"/>
      <c r="ERK9" s="4"/>
      <c r="ERL9" s="4"/>
      <c r="ERM9" s="4"/>
      <c r="ERN9" s="4"/>
      <c r="ERO9" s="4"/>
      <c r="ERP9" s="4"/>
      <c r="ERQ9" s="4"/>
      <c r="ERR9" s="4"/>
      <c r="ERS9" s="4"/>
      <c r="ERT9" s="4"/>
      <c r="ERU9" s="4"/>
      <c r="ERV9" s="4"/>
      <c r="ERW9" s="4"/>
      <c r="ERX9" s="4"/>
      <c r="ERY9" s="4"/>
      <c r="ERZ9" s="4"/>
      <c r="ESA9" s="4"/>
      <c r="ESB9" s="4"/>
      <c r="ESC9" s="4"/>
      <c r="ESD9" s="4"/>
      <c r="ESE9" s="4"/>
      <c r="ESF9" s="4"/>
      <c r="ESG9" s="4"/>
      <c r="ESH9" s="4"/>
      <c r="ESI9" s="4"/>
      <c r="ESJ9" s="4"/>
      <c r="ESK9" s="4"/>
      <c r="ESL9" s="4"/>
      <c r="ESM9" s="4"/>
      <c r="ESN9" s="4"/>
      <c r="ESO9" s="4"/>
      <c r="ESP9" s="4"/>
      <c r="ESQ9" s="4"/>
      <c r="ESR9" s="4"/>
      <c r="ESS9" s="4"/>
      <c r="EST9" s="4"/>
      <c r="ESU9" s="4"/>
      <c r="ESV9" s="4"/>
      <c r="ESW9" s="4"/>
      <c r="ESX9" s="4"/>
      <c r="ESY9" s="4"/>
      <c r="ESZ9" s="4"/>
      <c r="ETA9" s="4"/>
      <c r="ETB9" s="4"/>
      <c r="ETC9" s="4"/>
      <c r="ETD9" s="4"/>
      <c r="ETE9" s="4"/>
      <c r="ETF9" s="4"/>
      <c r="ETG9" s="4"/>
      <c r="ETH9" s="4"/>
      <c r="ETI9" s="4"/>
      <c r="ETJ9" s="4"/>
      <c r="ETK9" s="4"/>
      <c r="ETL9" s="4"/>
      <c r="ETM9" s="4"/>
      <c r="ETN9" s="4"/>
      <c r="ETO9" s="4"/>
      <c r="ETP9" s="4"/>
      <c r="ETQ9" s="4"/>
      <c r="ETR9" s="4"/>
      <c r="ETS9" s="4"/>
      <c r="ETT9" s="4"/>
      <c r="ETU9" s="4"/>
      <c r="ETV9" s="4"/>
      <c r="ETW9" s="4"/>
      <c r="ETX9" s="4"/>
      <c r="ETY9" s="4"/>
      <c r="ETZ9" s="4"/>
      <c r="EUA9" s="4"/>
      <c r="EUB9" s="4"/>
      <c r="EUC9" s="4"/>
      <c r="EUD9" s="4"/>
      <c r="EUE9" s="4"/>
      <c r="EUF9" s="4"/>
      <c r="EUG9" s="4"/>
      <c r="EUH9" s="4"/>
      <c r="EUI9" s="4"/>
      <c r="EUJ9" s="4"/>
      <c r="EUK9" s="4"/>
      <c r="EUL9" s="4"/>
      <c r="EUM9" s="4"/>
      <c r="EUN9" s="4"/>
      <c r="EUO9" s="4"/>
      <c r="EUP9" s="4"/>
      <c r="EUQ9" s="4"/>
      <c r="EUR9" s="4"/>
      <c r="EUS9" s="4"/>
      <c r="EUT9" s="4"/>
      <c r="EUU9" s="4"/>
      <c r="EUV9" s="4"/>
      <c r="EUW9" s="4"/>
      <c r="EUX9" s="4"/>
      <c r="EUY9" s="4"/>
      <c r="EUZ9" s="4"/>
      <c r="EVA9" s="4"/>
      <c r="EVB9" s="4"/>
      <c r="EVC9" s="4"/>
      <c r="EVD9" s="4"/>
      <c r="EVE9" s="4"/>
      <c r="EVF9" s="4"/>
      <c r="EVG9" s="4"/>
      <c r="EVH9" s="4"/>
      <c r="EVI9" s="4"/>
      <c r="EVJ9" s="4"/>
      <c r="EVK9" s="4"/>
      <c r="EVL9" s="4"/>
      <c r="EVM9" s="4"/>
      <c r="EVN9" s="4"/>
      <c r="EVO9" s="4"/>
      <c r="EVP9" s="4"/>
      <c r="EVQ9" s="4"/>
      <c r="EVR9" s="4"/>
      <c r="EVS9" s="4"/>
      <c r="EVT9" s="4"/>
      <c r="EVU9" s="4"/>
      <c r="EVV9" s="4"/>
      <c r="EVW9" s="4"/>
      <c r="EVX9" s="4"/>
      <c r="EVY9" s="4"/>
      <c r="EVZ9" s="4"/>
      <c r="EWA9" s="4"/>
      <c r="EWB9" s="4"/>
      <c r="EWC9" s="4"/>
      <c r="EWD9" s="4"/>
      <c r="EWE9" s="4"/>
      <c r="EWF9" s="4"/>
      <c r="EWG9" s="4"/>
      <c r="EWH9" s="4"/>
      <c r="EWI9" s="4"/>
      <c r="EWJ9" s="4"/>
      <c r="EWK9" s="4"/>
      <c r="EWL9" s="4"/>
      <c r="EWM9" s="4"/>
      <c r="EWN9" s="4"/>
      <c r="EWO9" s="4"/>
      <c r="EWP9" s="4"/>
      <c r="EWQ9" s="4"/>
      <c r="EWR9" s="4"/>
      <c r="EWS9" s="4"/>
      <c r="EWT9" s="4"/>
      <c r="EWU9" s="4"/>
      <c r="EWV9" s="4"/>
      <c r="EWW9" s="4"/>
      <c r="EWX9" s="4"/>
      <c r="EWY9" s="4"/>
      <c r="EWZ9" s="4"/>
      <c r="EXA9" s="4"/>
      <c r="EXB9" s="4"/>
      <c r="EXC9" s="4"/>
      <c r="EXD9" s="4"/>
      <c r="EXE9" s="4"/>
      <c r="EXF9" s="4"/>
      <c r="EXG9" s="4"/>
      <c r="EXH9" s="4"/>
      <c r="EXI9" s="4"/>
      <c r="EXJ9" s="4"/>
      <c r="EXK9" s="4"/>
      <c r="EXL9" s="4"/>
      <c r="EXM9" s="4"/>
      <c r="EXN9" s="4"/>
      <c r="EXO9" s="4"/>
      <c r="EXP9" s="4"/>
      <c r="EXQ9" s="4"/>
      <c r="EXR9" s="4"/>
      <c r="EXS9" s="4"/>
      <c r="EXT9" s="4"/>
      <c r="EXU9" s="4"/>
      <c r="EXV9" s="4"/>
      <c r="EXW9" s="4"/>
      <c r="EXX9" s="4"/>
      <c r="EXY9" s="4"/>
      <c r="EXZ9" s="4"/>
      <c r="EYA9" s="4"/>
      <c r="EYB9" s="4"/>
      <c r="EYC9" s="4"/>
      <c r="EYD9" s="4"/>
      <c r="EYE9" s="4"/>
      <c r="EYF9" s="4"/>
      <c r="EYG9" s="4"/>
      <c r="EYH9" s="4"/>
      <c r="EYI9" s="4"/>
      <c r="EYJ9" s="4"/>
      <c r="EYK9" s="4"/>
      <c r="EYL9" s="4"/>
      <c r="EYM9" s="4"/>
      <c r="EYN9" s="4"/>
      <c r="EYO9" s="4"/>
      <c r="EYP9" s="4"/>
      <c r="EYQ9" s="4"/>
      <c r="EYR9" s="4"/>
      <c r="EYS9" s="4"/>
      <c r="EYT9" s="4"/>
      <c r="EYU9" s="4"/>
      <c r="EYV9" s="4"/>
      <c r="EYW9" s="4"/>
      <c r="EYX9" s="4"/>
      <c r="EYY9" s="4"/>
      <c r="EYZ9" s="4"/>
      <c r="EZA9" s="4"/>
      <c r="EZB9" s="4"/>
      <c r="EZC9" s="4"/>
      <c r="EZD9" s="4"/>
      <c r="EZE9" s="4"/>
      <c r="EZF9" s="4"/>
      <c r="EZG9" s="4"/>
      <c r="EZH9" s="4"/>
      <c r="EZI9" s="4"/>
      <c r="EZJ9" s="4"/>
      <c r="EZK9" s="4"/>
      <c r="EZL9" s="4"/>
      <c r="EZM9" s="4"/>
      <c r="EZN9" s="4"/>
      <c r="EZO9" s="4"/>
      <c r="EZP9" s="4"/>
      <c r="EZQ9" s="4"/>
      <c r="EZR9" s="4"/>
      <c r="EZS9" s="4"/>
      <c r="EZT9" s="4"/>
      <c r="EZU9" s="4"/>
      <c r="EZV9" s="4"/>
      <c r="EZW9" s="4"/>
      <c r="EZX9" s="4"/>
      <c r="EZY9" s="4"/>
      <c r="EZZ9" s="4"/>
      <c r="FAA9" s="4"/>
      <c r="FAB9" s="4"/>
      <c r="FAC9" s="4"/>
      <c r="FAD9" s="4"/>
      <c r="FAE9" s="4"/>
      <c r="FAF9" s="4"/>
      <c r="FAG9" s="4"/>
      <c r="FAH9" s="4"/>
      <c r="FAI9" s="4"/>
      <c r="FAJ9" s="4"/>
      <c r="FAK9" s="4"/>
      <c r="FAL9" s="4"/>
      <c r="FAM9" s="4"/>
      <c r="FAN9" s="4"/>
      <c r="FAO9" s="4"/>
      <c r="FAP9" s="4"/>
      <c r="FAQ9" s="4"/>
      <c r="FAR9" s="4"/>
      <c r="FAS9" s="4"/>
      <c r="FAT9" s="4"/>
      <c r="FAU9" s="4"/>
      <c r="FAV9" s="4"/>
      <c r="FAW9" s="4"/>
      <c r="FAX9" s="4"/>
      <c r="FAY9" s="4"/>
      <c r="FAZ9" s="4"/>
      <c r="FBA9" s="4"/>
      <c r="FBB9" s="4"/>
      <c r="FBC9" s="4"/>
      <c r="FBD9" s="4"/>
      <c r="FBE9" s="4"/>
      <c r="FBF9" s="4"/>
      <c r="FBG9" s="4"/>
      <c r="FBH9" s="4"/>
      <c r="FBI9" s="4"/>
      <c r="FBJ9" s="4"/>
      <c r="FBK9" s="4"/>
      <c r="FBL9" s="4"/>
      <c r="FBM9" s="4"/>
      <c r="FBN9" s="4"/>
      <c r="FBO9" s="4"/>
      <c r="FBP9" s="4"/>
      <c r="FBQ9" s="4"/>
      <c r="FBR9" s="4"/>
      <c r="FBS9" s="4"/>
      <c r="FBT9" s="4"/>
      <c r="FBU9" s="4"/>
      <c r="FBV9" s="4"/>
      <c r="FBW9" s="4"/>
      <c r="FBX9" s="4"/>
      <c r="FBY9" s="4"/>
      <c r="FBZ9" s="4"/>
      <c r="FCA9" s="4"/>
      <c r="FCB9" s="4"/>
      <c r="FCC9" s="4"/>
      <c r="FCD9" s="4"/>
      <c r="FCE9" s="4"/>
      <c r="FCF9" s="4"/>
      <c r="FCG9" s="4"/>
      <c r="FCH9" s="4"/>
      <c r="FCI9" s="4"/>
      <c r="FCJ9" s="4"/>
      <c r="FCK9" s="4"/>
      <c r="FCL9" s="4"/>
      <c r="FCM9" s="4"/>
      <c r="FCN9" s="4"/>
      <c r="FCO9" s="4"/>
      <c r="FCP9" s="4"/>
      <c r="FCQ9" s="4"/>
      <c r="FCR9" s="4"/>
      <c r="FCS9" s="4"/>
      <c r="FCT9" s="4"/>
      <c r="FCU9" s="4"/>
      <c r="FCV9" s="4"/>
      <c r="FCW9" s="4"/>
      <c r="FCX9" s="4"/>
      <c r="FCY9" s="4"/>
      <c r="FCZ9" s="4"/>
      <c r="FDA9" s="4"/>
      <c r="FDB9" s="4"/>
      <c r="FDC9" s="4"/>
      <c r="FDD9" s="4"/>
      <c r="FDE9" s="4"/>
      <c r="FDF9" s="4"/>
      <c r="FDG9" s="4"/>
      <c r="FDH9" s="4"/>
      <c r="FDI9" s="4"/>
      <c r="FDJ9" s="4"/>
      <c r="FDK9" s="4"/>
      <c r="FDL9" s="4"/>
      <c r="FDM9" s="4"/>
      <c r="FDN9" s="4"/>
      <c r="FDO9" s="4"/>
      <c r="FDP9" s="4"/>
      <c r="FDQ9" s="4"/>
      <c r="FDR9" s="4"/>
      <c r="FDS9" s="4"/>
      <c r="FDT9" s="4"/>
      <c r="FDU9" s="4"/>
      <c r="FDV9" s="4"/>
      <c r="FDW9" s="4"/>
      <c r="FDX9" s="4"/>
      <c r="FDY9" s="4"/>
      <c r="FDZ9" s="4"/>
      <c r="FEA9" s="4"/>
      <c r="FEB9" s="4"/>
      <c r="FEC9" s="4"/>
      <c r="FED9" s="4"/>
      <c r="FEE9" s="4"/>
      <c r="FEF9" s="4"/>
      <c r="FEG9" s="4"/>
      <c r="FEH9" s="4"/>
      <c r="FEI9" s="4"/>
      <c r="FEJ9" s="4"/>
      <c r="FEK9" s="4"/>
      <c r="FEL9" s="4"/>
      <c r="FEM9" s="4"/>
      <c r="FEN9" s="4"/>
      <c r="FEO9" s="4"/>
      <c r="FEP9" s="4"/>
      <c r="FEQ9" s="4"/>
      <c r="FER9" s="4"/>
      <c r="FES9" s="4"/>
      <c r="FET9" s="4"/>
      <c r="FEU9" s="4"/>
      <c r="FEV9" s="4"/>
      <c r="FEW9" s="4"/>
      <c r="FEX9" s="4"/>
      <c r="FEY9" s="4"/>
      <c r="FEZ9" s="4"/>
      <c r="FFA9" s="4"/>
      <c r="FFB9" s="4"/>
      <c r="FFC9" s="4"/>
      <c r="FFD9" s="4"/>
      <c r="FFE9" s="4"/>
      <c r="FFF9" s="4"/>
      <c r="FFG9" s="4"/>
      <c r="FFH9" s="4"/>
      <c r="FFI9" s="4"/>
      <c r="FFJ9" s="4"/>
      <c r="FFK9" s="4"/>
      <c r="FFL9" s="4"/>
      <c r="FFM9" s="4"/>
      <c r="FFN9" s="4"/>
      <c r="FFO9" s="4"/>
      <c r="FFP9" s="4"/>
      <c r="FFQ9" s="4"/>
      <c r="FFR9" s="4"/>
      <c r="FFS9" s="4"/>
      <c r="FFT9" s="4"/>
      <c r="FFU9" s="4"/>
      <c r="FFV9" s="4"/>
      <c r="FFW9" s="4"/>
      <c r="FFX9" s="4"/>
      <c r="FFY9" s="4"/>
      <c r="FFZ9" s="4"/>
      <c r="FGA9" s="4"/>
      <c r="FGB9" s="4"/>
      <c r="FGC9" s="4"/>
      <c r="FGD9" s="4"/>
      <c r="FGE9" s="4"/>
      <c r="FGF9" s="4"/>
      <c r="FGG9" s="4"/>
      <c r="FGH9" s="4"/>
      <c r="FGI9" s="4"/>
      <c r="FGJ9" s="4"/>
      <c r="FGK9" s="4"/>
      <c r="FGL9" s="4"/>
      <c r="FGM9" s="4"/>
      <c r="FGN9" s="4"/>
      <c r="FGO9" s="4"/>
      <c r="FGP9" s="4"/>
      <c r="FGQ9" s="4"/>
      <c r="FGR9" s="4"/>
      <c r="FGS9" s="4"/>
      <c r="FGT9" s="4"/>
      <c r="FGU9" s="4"/>
      <c r="FGV9" s="4"/>
      <c r="FGW9" s="4"/>
      <c r="FGX9" s="4"/>
      <c r="FGY9" s="4"/>
      <c r="FGZ9" s="4"/>
      <c r="FHA9" s="4"/>
      <c r="FHB9" s="4"/>
      <c r="FHC9" s="4"/>
      <c r="FHD9" s="4"/>
      <c r="FHE9" s="4"/>
      <c r="FHF9" s="4"/>
      <c r="FHG9" s="4"/>
      <c r="FHH9" s="4"/>
      <c r="FHI9" s="4"/>
      <c r="FHJ9" s="4"/>
      <c r="FHK9" s="4"/>
      <c r="FHL9" s="4"/>
      <c r="FHM9" s="4"/>
      <c r="FHN9" s="4"/>
      <c r="FHO9" s="4"/>
      <c r="FHP9" s="4"/>
      <c r="FHQ9" s="4"/>
      <c r="FHR9" s="4"/>
      <c r="FHS9" s="4"/>
      <c r="FHT9" s="4"/>
      <c r="FHU9" s="4"/>
      <c r="FHV9" s="4"/>
      <c r="FHW9" s="4"/>
      <c r="FHX9" s="4"/>
      <c r="FHY9" s="4"/>
      <c r="FHZ9" s="4"/>
      <c r="FIA9" s="4"/>
      <c r="FIB9" s="4"/>
      <c r="FIC9" s="4"/>
      <c r="FID9" s="4"/>
      <c r="FIE9" s="4"/>
      <c r="FIF9" s="4"/>
      <c r="FIG9" s="4"/>
      <c r="FIH9" s="4"/>
      <c r="FII9" s="4"/>
      <c r="FIJ9" s="4"/>
      <c r="FIK9" s="4"/>
      <c r="FIL9" s="4"/>
      <c r="FIM9" s="4"/>
      <c r="FIN9" s="4"/>
      <c r="FIO9" s="4"/>
      <c r="FIP9" s="4"/>
      <c r="FIQ9" s="4"/>
      <c r="FIR9" s="4"/>
      <c r="FIS9" s="4"/>
      <c r="FIT9" s="4"/>
      <c r="FIU9" s="4"/>
      <c r="FIV9" s="4"/>
      <c r="FIW9" s="4"/>
      <c r="FIX9" s="4"/>
      <c r="FIY9" s="4"/>
      <c r="FIZ9" s="4"/>
      <c r="FJA9" s="4"/>
      <c r="FJB9" s="4"/>
      <c r="FJC9" s="4"/>
      <c r="FJD9" s="4"/>
      <c r="FJE9" s="4"/>
      <c r="FJF9" s="4"/>
      <c r="FJG9" s="4"/>
      <c r="FJH9" s="4"/>
      <c r="FJI9" s="4"/>
      <c r="FJJ9" s="4"/>
      <c r="FJK9" s="4"/>
      <c r="FJL9" s="4"/>
      <c r="FJM9" s="4"/>
      <c r="FJN9" s="4"/>
      <c r="FJO9" s="4"/>
      <c r="FJP9" s="4"/>
      <c r="FJQ9" s="4"/>
      <c r="FJR9" s="4"/>
      <c r="FJS9" s="4"/>
      <c r="FJT9" s="4"/>
      <c r="FJU9" s="4"/>
      <c r="FJV9" s="4"/>
      <c r="FJW9" s="4"/>
      <c r="FJX9" s="4"/>
      <c r="FJY9" s="4"/>
      <c r="FJZ9" s="4"/>
      <c r="FKA9" s="4"/>
      <c r="FKB9" s="4"/>
      <c r="FKC9" s="4"/>
      <c r="FKD9" s="4"/>
      <c r="FKE9" s="4"/>
      <c r="FKF9" s="4"/>
      <c r="FKG9" s="4"/>
      <c r="FKH9" s="4"/>
      <c r="FKI9" s="4"/>
      <c r="FKJ9" s="4"/>
      <c r="FKK9" s="4"/>
      <c r="FKL9" s="4"/>
      <c r="FKM9" s="4"/>
      <c r="FKN9" s="4"/>
      <c r="FKO9" s="4"/>
      <c r="FKP9" s="4"/>
      <c r="FKQ9" s="4"/>
      <c r="FKR9" s="4"/>
      <c r="FKS9" s="4"/>
      <c r="FKT9" s="4"/>
      <c r="FKU9" s="4"/>
      <c r="FKV9" s="4"/>
      <c r="FKW9" s="4"/>
      <c r="FKX9" s="4"/>
      <c r="FKY9" s="4"/>
      <c r="FKZ9" s="4"/>
      <c r="FLA9" s="4"/>
      <c r="FLB9" s="4"/>
      <c r="FLC9" s="4"/>
      <c r="FLD9" s="4"/>
      <c r="FLE9" s="4"/>
      <c r="FLF9" s="4"/>
      <c r="FLG9" s="4"/>
      <c r="FLH9" s="4"/>
      <c r="FLI9" s="4"/>
      <c r="FLJ9" s="4"/>
      <c r="FLK9" s="4"/>
      <c r="FLL9" s="4"/>
      <c r="FLM9" s="4"/>
      <c r="FLN9" s="4"/>
      <c r="FLO9" s="4"/>
      <c r="FLP9" s="4"/>
      <c r="FLQ9" s="4"/>
      <c r="FLR9" s="4"/>
      <c r="FLS9" s="4"/>
      <c r="FLT9" s="4"/>
      <c r="FLU9" s="4"/>
      <c r="FLV9" s="4"/>
      <c r="FLW9" s="4"/>
      <c r="FLX9" s="4"/>
      <c r="FLY9" s="4"/>
      <c r="FLZ9" s="4"/>
      <c r="FMA9" s="4"/>
      <c r="FMB9" s="4"/>
      <c r="FMC9" s="4"/>
      <c r="FMD9" s="4"/>
      <c r="FME9" s="4"/>
      <c r="FMF9" s="4"/>
      <c r="FMG9" s="4"/>
      <c r="FMH9" s="4"/>
      <c r="FMI9" s="4"/>
      <c r="FMJ9" s="4"/>
      <c r="FMK9" s="4"/>
      <c r="FML9" s="4"/>
      <c r="FMM9" s="4"/>
      <c r="FMN9" s="4"/>
      <c r="FMO9" s="4"/>
      <c r="FMP9" s="4"/>
      <c r="FMQ9" s="4"/>
      <c r="FMR9" s="4"/>
      <c r="FMS9" s="4"/>
      <c r="FMT9" s="4"/>
      <c r="FMU9" s="4"/>
      <c r="FMV9" s="4"/>
      <c r="FMW9" s="4"/>
      <c r="FMX9" s="4"/>
      <c r="FMY9" s="4"/>
      <c r="FMZ9" s="4"/>
      <c r="FNA9" s="4"/>
      <c r="FNB9" s="4"/>
      <c r="FNC9" s="4"/>
      <c r="FND9" s="4"/>
      <c r="FNE9" s="4"/>
      <c r="FNF9" s="4"/>
      <c r="FNG9" s="4"/>
      <c r="FNH9" s="4"/>
      <c r="FNI9" s="4"/>
      <c r="FNJ9" s="4"/>
      <c r="FNK9" s="4"/>
      <c r="FNL9" s="4"/>
      <c r="FNM9" s="4"/>
      <c r="FNN9" s="4"/>
      <c r="FNO9" s="4"/>
      <c r="FNP9" s="4"/>
      <c r="FNQ9" s="4"/>
      <c r="FNR9" s="4"/>
      <c r="FNS9" s="4"/>
      <c r="FNT9" s="4"/>
      <c r="FNU9" s="4"/>
      <c r="FNV9" s="4"/>
      <c r="FNW9" s="4"/>
      <c r="FNX9" s="4"/>
      <c r="FNY9" s="4"/>
      <c r="FNZ9" s="4"/>
      <c r="FOA9" s="4"/>
      <c r="FOB9" s="4"/>
      <c r="FOC9" s="4"/>
      <c r="FOD9" s="4"/>
      <c r="FOE9" s="4"/>
      <c r="FOF9" s="4"/>
      <c r="FOG9" s="4"/>
      <c r="FOH9" s="4"/>
      <c r="FOI9" s="4"/>
      <c r="FOJ9" s="4"/>
      <c r="FOK9" s="4"/>
      <c r="FOL9" s="4"/>
      <c r="FOM9" s="4"/>
      <c r="FON9" s="4"/>
      <c r="FOO9" s="4"/>
      <c r="FOP9" s="4"/>
      <c r="FOQ9" s="4"/>
      <c r="FOR9" s="4"/>
      <c r="FOS9" s="4"/>
      <c r="FOT9" s="4"/>
      <c r="FOU9" s="4"/>
      <c r="FOV9" s="4"/>
      <c r="FOW9" s="4"/>
      <c r="FOX9" s="4"/>
      <c r="FOY9" s="4"/>
      <c r="FOZ9" s="4"/>
      <c r="FPA9" s="4"/>
      <c r="FPB9" s="4"/>
      <c r="FPC9" s="4"/>
      <c r="FPD9" s="4"/>
      <c r="FPE9" s="4"/>
      <c r="FPF9" s="4"/>
      <c r="FPG9" s="4"/>
      <c r="FPH9" s="4"/>
      <c r="FPI9" s="4"/>
      <c r="FPJ9" s="4"/>
      <c r="FPK9" s="4"/>
      <c r="FPL9" s="4"/>
      <c r="FPM9" s="4"/>
      <c r="FPN9" s="4"/>
      <c r="FPO9" s="4"/>
      <c r="FPP9" s="4"/>
      <c r="FPQ9" s="4"/>
      <c r="FPR9" s="4"/>
      <c r="FPS9" s="4"/>
      <c r="FPT9" s="4"/>
      <c r="FPU9" s="4"/>
      <c r="FPV9" s="4"/>
      <c r="FPW9" s="4"/>
      <c r="FPX9" s="4"/>
      <c r="FPY9" s="4"/>
      <c r="FPZ9" s="4"/>
      <c r="FQA9" s="4"/>
      <c r="FQB9" s="4"/>
      <c r="FQC9" s="4"/>
      <c r="FQD9" s="4"/>
      <c r="FQE9" s="4"/>
      <c r="FQF9" s="4"/>
      <c r="FQG9" s="4"/>
      <c r="FQH9" s="4"/>
      <c r="FQI9" s="4"/>
      <c r="FQJ9" s="4"/>
      <c r="FQK9" s="4"/>
      <c r="FQL9" s="4"/>
      <c r="FQM9" s="4"/>
      <c r="FQN9" s="4"/>
      <c r="FQO9" s="4"/>
      <c r="FQP9" s="4"/>
      <c r="FQQ9" s="4"/>
      <c r="FQR9" s="4"/>
      <c r="FQS9" s="4"/>
      <c r="FQT9" s="4"/>
      <c r="FQU9" s="4"/>
      <c r="FQV9" s="4"/>
      <c r="FQW9" s="4"/>
      <c r="FQX9" s="4"/>
      <c r="FQY9" s="4"/>
      <c r="FQZ9" s="4"/>
      <c r="FRA9" s="4"/>
      <c r="FRB9" s="4"/>
      <c r="FRC9" s="4"/>
      <c r="FRD9" s="4"/>
      <c r="FRE9" s="4"/>
      <c r="FRF9" s="4"/>
      <c r="FRG9" s="4"/>
      <c r="FRH9" s="4"/>
      <c r="FRI9" s="4"/>
      <c r="FRJ9" s="4"/>
      <c r="FRK9" s="4"/>
      <c r="FRL9" s="4"/>
      <c r="FRM9" s="4"/>
      <c r="FRN9" s="4"/>
      <c r="FRO9" s="4"/>
      <c r="FRP9" s="4"/>
      <c r="FRQ9" s="4"/>
      <c r="FRR9" s="4"/>
      <c r="FRS9" s="4"/>
      <c r="FRT9" s="4"/>
      <c r="FRU9" s="4"/>
      <c r="FRV9" s="4"/>
      <c r="FRW9" s="4"/>
      <c r="FRX9" s="4"/>
      <c r="FRY9" s="4"/>
      <c r="FRZ9" s="4"/>
      <c r="FSA9" s="4"/>
      <c r="FSB9" s="4"/>
      <c r="FSC9" s="4"/>
      <c r="FSD9" s="4"/>
      <c r="FSE9" s="4"/>
      <c r="FSF9" s="4"/>
      <c r="FSG9" s="4"/>
      <c r="FSH9" s="4"/>
      <c r="FSI9" s="4"/>
      <c r="FSJ9" s="4"/>
      <c r="FSK9" s="4"/>
      <c r="FSL9" s="4"/>
      <c r="FSM9" s="4"/>
      <c r="FSN9" s="4"/>
      <c r="FSO9" s="4"/>
      <c r="FSP9" s="4"/>
      <c r="FSQ9" s="4"/>
      <c r="FSR9" s="4"/>
      <c r="FSS9" s="4"/>
      <c r="FST9" s="4"/>
      <c r="FSU9" s="4"/>
      <c r="FSV9" s="4"/>
      <c r="FSW9" s="4"/>
      <c r="FSX9" s="4"/>
      <c r="FSY9" s="4"/>
      <c r="FSZ9" s="4"/>
      <c r="FTA9" s="4"/>
      <c r="FTB9" s="4"/>
      <c r="FTC9" s="4"/>
      <c r="FTD9" s="4"/>
      <c r="FTE9" s="4"/>
      <c r="FTF9" s="4"/>
      <c r="FTG9" s="4"/>
      <c r="FTH9" s="4"/>
      <c r="FTI9" s="4"/>
      <c r="FTJ9" s="4"/>
      <c r="FTK9" s="4"/>
      <c r="FTL9" s="4"/>
      <c r="FTM9" s="4"/>
      <c r="FTN9" s="4"/>
      <c r="FTO9" s="4"/>
      <c r="FTP9" s="4"/>
      <c r="FTQ9" s="4"/>
      <c r="FTR9" s="4"/>
      <c r="FTS9" s="4"/>
      <c r="FTT9" s="4"/>
      <c r="FTU9" s="4"/>
      <c r="FTV9" s="4"/>
      <c r="FTW9" s="4"/>
      <c r="FTX9" s="4"/>
      <c r="FTY9" s="4"/>
      <c r="FTZ9" s="4"/>
      <c r="FUA9" s="4"/>
      <c r="FUB9" s="4"/>
      <c r="FUC9" s="4"/>
      <c r="FUD9" s="4"/>
      <c r="FUE9" s="4"/>
      <c r="FUF9" s="4"/>
      <c r="FUG9" s="4"/>
      <c r="FUH9" s="4"/>
      <c r="FUI9" s="4"/>
      <c r="FUJ9" s="4"/>
      <c r="FUK9" s="4"/>
      <c r="FUL9" s="4"/>
      <c r="FUM9" s="4"/>
      <c r="FUN9" s="4"/>
      <c r="FUO9" s="4"/>
      <c r="FUP9" s="4"/>
      <c r="FUQ9" s="4"/>
      <c r="FUR9" s="4"/>
      <c r="FUS9" s="4"/>
      <c r="FUT9" s="4"/>
      <c r="FUU9" s="4"/>
      <c r="FUV9" s="4"/>
      <c r="FUW9" s="4"/>
      <c r="FUX9" s="4"/>
      <c r="FUY9" s="4"/>
      <c r="FUZ9" s="4"/>
      <c r="FVA9" s="4"/>
      <c r="FVB9" s="4"/>
      <c r="FVC9" s="4"/>
      <c r="FVD9" s="4"/>
      <c r="FVE9" s="4"/>
      <c r="FVF9" s="4"/>
      <c r="FVG9" s="4"/>
      <c r="FVH9" s="4"/>
      <c r="FVI9" s="4"/>
      <c r="FVJ9" s="4"/>
      <c r="FVK9" s="4"/>
      <c r="FVL9" s="4"/>
      <c r="FVM9" s="4"/>
      <c r="FVN9" s="4"/>
      <c r="FVO9" s="4"/>
      <c r="FVP9" s="4"/>
      <c r="FVQ9" s="4"/>
      <c r="FVR9" s="4"/>
      <c r="FVS9" s="4"/>
      <c r="FVT9" s="4"/>
      <c r="FVU9" s="4"/>
      <c r="FVV9" s="4"/>
      <c r="FVW9" s="4"/>
      <c r="FVX9" s="4"/>
      <c r="FVY9" s="4"/>
      <c r="FVZ9" s="4"/>
      <c r="FWA9" s="4"/>
      <c r="FWB9" s="4"/>
      <c r="FWC9" s="4"/>
      <c r="FWD9" s="4"/>
      <c r="FWE9" s="4"/>
      <c r="FWF9" s="4"/>
      <c r="FWG9" s="4"/>
      <c r="FWH9" s="4"/>
      <c r="FWI9" s="4"/>
      <c r="FWJ9" s="4"/>
      <c r="FWK9" s="4"/>
      <c r="FWL9" s="4"/>
      <c r="FWM9" s="4"/>
      <c r="FWN9" s="4"/>
      <c r="FWO9" s="4"/>
      <c r="FWP9" s="4"/>
      <c r="FWQ9" s="4"/>
      <c r="FWR9" s="4"/>
      <c r="FWS9" s="4"/>
      <c r="FWT9" s="4"/>
      <c r="FWU9" s="4"/>
      <c r="FWV9" s="4"/>
      <c r="FWW9" s="4"/>
      <c r="FWX9" s="4"/>
      <c r="FWY9" s="4"/>
      <c r="FWZ9" s="4"/>
      <c r="FXA9" s="4"/>
      <c r="FXB9" s="4"/>
      <c r="FXC9" s="4"/>
      <c r="FXD9" s="4"/>
      <c r="FXE9" s="4"/>
      <c r="FXF9" s="4"/>
      <c r="FXG9" s="4"/>
      <c r="FXH9" s="4"/>
      <c r="FXI9" s="4"/>
      <c r="FXJ9" s="4"/>
      <c r="FXK9" s="4"/>
      <c r="FXL9" s="4"/>
      <c r="FXM9" s="4"/>
      <c r="FXN9" s="4"/>
      <c r="FXO9" s="4"/>
      <c r="FXP9" s="4"/>
      <c r="FXQ9" s="4"/>
      <c r="FXR9" s="4"/>
      <c r="FXS9" s="4"/>
      <c r="FXT9" s="4"/>
      <c r="FXU9" s="4"/>
      <c r="FXV9" s="4"/>
      <c r="FXW9" s="4"/>
      <c r="FXX9" s="4"/>
      <c r="FXY9" s="4"/>
      <c r="FXZ9" s="4"/>
      <c r="FYA9" s="4"/>
      <c r="FYB9" s="4"/>
      <c r="FYC9" s="4"/>
      <c r="FYD9" s="4"/>
      <c r="FYE9" s="4"/>
      <c r="FYF9" s="4"/>
      <c r="FYG9" s="4"/>
      <c r="FYH9" s="4"/>
      <c r="FYI9" s="4"/>
      <c r="FYJ9" s="4"/>
      <c r="FYK9" s="4"/>
      <c r="FYL9" s="4"/>
      <c r="FYM9" s="4"/>
      <c r="FYN9" s="4"/>
      <c r="FYO9" s="4"/>
      <c r="FYP9" s="4"/>
      <c r="FYQ9" s="4"/>
      <c r="FYR9" s="4"/>
      <c r="FYS9" s="4"/>
      <c r="FYT9" s="4"/>
      <c r="FYU9" s="4"/>
      <c r="FYV9" s="4"/>
      <c r="FYW9" s="4"/>
      <c r="FYX9" s="4"/>
      <c r="FYY9" s="4"/>
      <c r="FYZ9" s="4"/>
      <c r="FZA9" s="4"/>
      <c r="FZB9" s="4"/>
      <c r="FZC9" s="4"/>
      <c r="FZD9" s="4"/>
      <c r="FZE9" s="4"/>
      <c r="FZF9" s="4"/>
      <c r="FZG9" s="4"/>
      <c r="FZH9" s="4"/>
      <c r="FZI9" s="4"/>
      <c r="FZJ9" s="4"/>
      <c r="FZK9" s="4"/>
      <c r="FZL9" s="4"/>
      <c r="FZM9" s="4"/>
      <c r="FZN9" s="4"/>
      <c r="FZO9" s="4"/>
      <c r="FZP9" s="4"/>
      <c r="FZQ9" s="4"/>
      <c r="FZR9" s="4"/>
      <c r="FZS9" s="4"/>
      <c r="FZT9" s="4"/>
      <c r="FZU9" s="4"/>
      <c r="FZV9" s="4"/>
      <c r="FZW9" s="4"/>
      <c r="FZX9" s="4"/>
      <c r="FZY9" s="4"/>
      <c r="FZZ9" s="4"/>
      <c r="GAA9" s="4"/>
      <c r="GAB9" s="4"/>
      <c r="GAC9" s="4"/>
      <c r="GAD9" s="4"/>
      <c r="GAE9" s="4"/>
      <c r="GAF9" s="4"/>
      <c r="GAG9" s="4"/>
      <c r="GAH9" s="4"/>
      <c r="GAI9" s="4"/>
      <c r="GAJ9" s="4"/>
      <c r="GAK9" s="4"/>
      <c r="GAL9" s="4"/>
      <c r="GAM9" s="4"/>
      <c r="GAN9" s="4"/>
      <c r="GAO9" s="4"/>
      <c r="GAP9" s="4"/>
      <c r="GAQ9" s="4"/>
      <c r="GAR9" s="4"/>
      <c r="GAS9" s="4"/>
      <c r="GAT9" s="4"/>
      <c r="GAU9" s="4"/>
      <c r="GAV9" s="4"/>
      <c r="GAW9" s="4"/>
      <c r="GAX9" s="4"/>
      <c r="GAY9" s="4"/>
      <c r="GAZ9" s="4"/>
      <c r="GBA9" s="4"/>
      <c r="GBB9" s="4"/>
      <c r="GBC9" s="4"/>
      <c r="GBD9" s="4"/>
      <c r="GBE9" s="4"/>
      <c r="GBF9" s="4"/>
      <c r="GBG9" s="4"/>
      <c r="GBH9" s="4"/>
      <c r="GBI9" s="4"/>
      <c r="GBJ9" s="4"/>
      <c r="GBK9" s="4"/>
      <c r="GBL9" s="4"/>
      <c r="GBM9" s="4"/>
      <c r="GBN9" s="4"/>
      <c r="GBO9" s="4"/>
      <c r="GBP9" s="4"/>
      <c r="GBQ9" s="4"/>
      <c r="GBR9" s="4"/>
      <c r="GBS9" s="4"/>
      <c r="GBT9" s="4"/>
      <c r="GBU9" s="4"/>
      <c r="GBV9" s="4"/>
      <c r="GBW9" s="4"/>
      <c r="GBX9" s="4"/>
      <c r="GBY9" s="4"/>
      <c r="GBZ9" s="4"/>
      <c r="GCA9" s="4"/>
      <c r="GCB9" s="4"/>
      <c r="GCC9" s="4"/>
      <c r="GCD9" s="4"/>
      <c r="GCE9" s="4"/>
      <c r="GCF9" s="4"/>
      <c r="GCG9" s="4"/>
      <c r="GCH9" s="4"/>
      <c r="GCI9" s="4"/>
      <c r="GCJ9" s="4"/>
      <c r="GCK9" s="4"/>
      <c r="GCL9" s="4"/>
      <c r="GCM9" s="4"/>
      <c r="GCN9" s="4"/>
      <c r="GCO9" s="4"/>
      <c r="GCP9" s="4"/>
      <c r="GCQ9" s="4"/>
      <c r="GCR9" s="4"/>
      <c r="GCS9" s="4"/>
      <c r="GCT9" s="4"/>
      <c r="GCU9" s="4"/>
      <c r="GCV9" s="4"/>
      <c r="GCW9" s="4"/>
      <c r="GCX9" s="4"/>
      <c r="GCY9" s="4"/>
      <c r="GCZ9" s="4"/>
      <c r="GDA9" s="4"/>
      <c r="GDB9" s="4"/>
      <c r="GDC9" s="4"/>
      <c r="GDD9" s="4"/>
      <c r="GDE9" s="4"/>
      <c r="GDF9" s="4"/>
      <c r="GDG9" s="4"/>
      <c r="GDH9" s="4"/>
      <c r="GDI9" s="4"/>
      <c r="GDJ9" s="4"/>
      <c r="GDK9" s="4"/>
      <c r="GDL9" s="4"/>
      <c r="GDM9" s="4"/>
      <c r="GDN9" s="4"/>
      <c r="GDO9" s="4"/>
      <c r="GDP9" s="4"/>
      <c r="GDQ9" s="4"/>
      <c r="GDR9" s="4"/>
      <c r="GDS9" s="4"/>
      <c r="GDT9" s="4"/>
      <c r="GDU9" s="4"/>
      <c r="GDV9" s="4"/>
      <c r="GDW9" s="4"/>
      <c r="GDX9" s="4"/>
      <c r="GDY9" s="4"/>
      <c r="GDZ9" s="4"/>
      <c r="GEA9" s="4"/>
      <c r="GEB9" s="4"/>
      <c r="GEC9" s="4"/>
      <c r="GED9" s="4"/>
      <c r="GEE9" s="4"/>
      <c r="GEF9" s="4"/>
      <c r="GEG9" s="4"/>
      <c r="GEH9" s="4"/>
      <c r="GEI9" s="4"/>
      <c r="GEJ9" s="4"/>
      <c r="GEK9" s="4"/>
      <c r="GEL9" s="4"/>
      <c r="GEM9" s="4"/>
      <c r="GEN9" s="4"/>
      <c r="GEO9" s="4"/>
      <c r="GEP9" s="4"/>
      <c r="GEQ9" s="4"/>
      <c r="GER9" s="4"/>
      <c r="GES9" s="4"/>
      <c r="GET9" s="4"/>
      <c r="GEU9" s="4"/>
      <c r="GEV9" s="4"/>
      <c r="GEW9" s="4"/>
      <c r="GEX9" s="4"/>
      <c r="GEY9" s="4"/>
      <c r="GEZ9" s="4"/>
      <c r="GFA9" s="4"/>
      <c r="GFB9" s="4"/>
      <c r="GFC9" s="4"/>
      <c r="GFD9" s="4"/>
      <c r="GFE9" s="4"/>
      <c r="GFF9" s="4"/>
      <c r="GFG9" s="4"/>
      <c r="GFH9" s="4"/>
      <c r="GFI9" s="4"/>
      <c r="GFJ9" s="4"/>
      <c r="GFK9" s="4"/>
      <c r="GFL9" s="4"/>
      <c r="GFM9" s="4"/>
      <c r="GFN9" s="4"/>
      <c r="GFO9" s="4"/>
      <c r="GFP9" s="4"/>
      <c r="GFQ9" s="4"/>
      <c r="GFR9" s="4"/>
      <c r="GFS9" s="4"/>
      <c r="GFT9" s="4"/>
      <c r="GFU9" s="4"/>
      <c r="GFV9" s="4"/>
      <c r="GFW9" s="4"/>
      <c r="GFX9" s="4"/>
      <c r="GFY9" s="4"/>
      <c r="GFZ9" s="4"/>
      <c r="GGA9" s="4"/>
      <c r="GGB9" s="4"/>
      <c r="GGC9" s="4"/>
      <c r="GGD9" s="4"/>
      <c r="GGE9" s="4"/>
      <c r="GGF9" s="4"/>
      <c r="GGG9" s="4"/>
      <c r="GGH9" s="4"/>
      <c r="GGI9" s="4"/>
      <c r="GGJ9" s="4"/>
      <c r="GGK9" s="4"/>
      <c r="GGL9" s="4"/>
      <c r="GGM9" s="4"/>
      <c r="GGN9" s="4"/>
      <c r="GGO9" s="4"/>
      <c r="GGP9" s="4"/>
      <c r="GGQ9" s="4"/>
      <c r="GGR9" s="4"/>
      <c r="GGS9" s="4"/>
      <c r="GGT9" s="4"/>
      <c r="GGU9" s="4"/>
      <c r="GGV9" s="4"/>
      <c r="GGW9" s="4"/>
      <c r="GGX9" s="4"/>
      <c r="GGY9" s="4"/>
      <c r="GGZ9" s="4"/>
      <c r="GHA9" s="4"/>
      <c r="GHB9" s="4"/>
      <c r="GHC9" s="4"/>
      <c r="GHD9" s="4"/>
      <c r="GHE9" s="4"/>
      <c r="GHF9" s="4"/>
      <c r="GHG9" s="4"/>
      <c r="GHH9" s="4"/>
      <c r="GHI9" s="4"/>
      <c r="GHJ9" s="4"/>
      <c r="GHK9" s="4"/>
      <c r="GHL9" s="4"/>
      <c r="GHM9" s="4"/>
      <c r="GHN9" s="4"/>
      <c r="GHO9" s="4"/>
      <c r="GHP9" s="4"/>
      <c r="GHQ9" s="4"/>
      <c r="GHR9" s="4"/>
      <c r="GHS9" s="4"/>
      <c r="GHT9" s="4"/>
      <c r="GHU9" s="4"/>
      <c r="GHV9" s="4"/>
      <c r="GHW9" s="4"/>
      <c r="GHX9" s="4"/>
      <c r="GHY9" s="4"/>
      <c r="GHZ9" s="4"/>
      <c r="GIA9" s="4"/>
      <c r="GIB9" s="4"/>
      <c r="GIC9" s="4"/>
      <c r="GID9" s="4"/>
      <c r="GIE9" s="4"/>
      <c r="GIF9" s="4"/>
      <c r="GIG9" s="4"/>
      <c r="GIH9" s="4"/>
      <c r="GII9" s="4"/>
      <c r="GIJ9" s="4"/>
      <c r="GIK9" s="4"/>
      <c r="GIL9" s="4"/>
      <c r="GIM9" s="4"/>
      <c r="GIN9" s="4"/>
      <c r="GIO9" s="4"/>
      <c r="GIP9" s="4"/>
      <c r="GIQ9" s="4"/>
      <c r="GIR9" s="4"/>
      <c r="GIS9" s="4"/>
      <c r="GIT9" s="4"/>
      <c r="GIU9" s="4"/>
      <c r="GIV9" s="4"/>
      <c r="GIW9" s="4"/>
      <c r="GIX9" s="4"/>
      <c r="GIY9" s="4"/>
      <c r="GIZ9" s="4"/>
      <c r="GJA9" s="4"/>
      <c r="GJB9" s="4"/>
      <c r="GJC9" s="4"/>
      <c r="GJD9" s="4"/>
      <c r="GJE9" s="4"/>
      <c r="GJF9" s="4"/>
      <c r="GJG9" s="4"/>
      <c r="GJH9" s="4"/>
      <c r="GJI9" s="4"/>
      <c r="GJJ9" s="4"/>
      <c r="GJK9" s="4"/>
      <c r="GJL9" s="4"/>
      <c r="GJM9" s="4"/>
      <c r="GJN9" s="4"/>
      <c r="GJO9" s="4"/>
      <c r="GJP9" s="4"/>
      <c r="GJQ9" s="4"/>
      <c r="GJR9" s="4"/>
      <c r="GJS9" s="4"/>
      <c r="GJT9" s="4"/>
      <c r="GJU9" s="4"/>
      <c r="GJV9" s="4"/>
      <c r="GJW9" s="4"/>
      <c r="GJX9" s="4"/>
      <c r="GJY9" s="4"/>
      <c r="GJZ9" s="4"/>
      <c r="GKA9" s="4"/>
      <c r="GKB9" s="4"/>
      <c r="GKC9" s="4"/>
      <c r="GKD9" s="4"/>
      <c r="GKE9" s="4"/>
      <c r="GKF9" s="4"/>
      <c r="GKG9" s="4"/>
      <c r="GKH9" s="4"/>
      <c r="GKI9" s="4"/>
      <c r="GKJ9" s="4"/>
      <c r="GKK9" s="4"/>
      <c r="GKL9" s="4"/>
      <c r="GKM9" s="4"/>
      <c r="GKN9" s="4"/>
      <c r="GKO9" s="4"/>
      <c r="GKP9" s="4"/>
      <c r="GKQ9" s="4"/>
      <c r="GKR9" s="4"/>
      <c r="GKS9" s="4"/>
      <c r="GKT9" s="4"/>
      <c r="GKU9" s="4"/>
      <c r="GKV9" s="4"/>
      <c r="GKW9" s="4"/>
      <c r="GKX9" s="4"/>
      <c r="GKY9" s="4"/>
      <c r="GKZ9" s="4"/>
      <c r="GLA9" s="4"/>
      <c r="GLB9" s="4"/>
      <c r="GLC9" s="4"/>
      <c r="GLD9" s="4"/>
      <c r="GLE9" s="4"/>
      <c r="GLF9" s="4"/>
      <c r="GLG9" s="4"/>
      <c r="GLH9" s="4"/>
      <c r="GLI9" s="4"/>
      <c r="GLJ9" s="4"/>
      <c r="GLK9" s="4"/>
      <c r="GLL9" s="4"/>
      <c r="GLM9" s="4"/>
      <c r="GLN9" s="4"/>
      <c r="GLO9" s="4"/>
      <c r="GLP9" s="4"/>
      <c r="GLQ9" s="4"/>
      <c r="GLR9" s="4"/>
      <c r="GLS9" s="4"/>
      <c r="GLT9" s="4"/>
      <c r="GLU9" s="4"/>
      <c r="GLV9" s="4"/>
      <c r="GLW9" s="4"/>
      <c r="GLX9" s="4"/>
      <c r="GLY9" s="4"/>
      <c r="GLZ9" s="4"/>
      <c r="GMA9" s="4"/>
      <c r="GMB9" s="4"/>
      <c r="GMC9" s="4"/>
      <c r="GMD9" s="4"/>
      <c r="GME9" s="4"/>
      <c r="GMF9" s="4"/>
      <c r="GMG9" s="4"/>
      <c r="GMH9" s="4"/>
      <c r="GMI9" s="4"/>
      <c r="GMJ9" s="4"/>
      <c r="GMK9" s="4"/>
      <c r="GML9" s="4"/>
      <c r="GMM9" s="4"/>
      <c r="GMN9" s="4"/>
      <c r="GMO9" s="4"/>
      <c r="GMP9" s="4"/>
      <c r="GMQ9" s="4"/>
      <c r="GMR9" s="4"/>
      <c r="GMS9" s="4"/>
      <c r="GMT9" s="4"/>
      <c r="GMU9" s="4"/>
      <c r="GMV9" s="4"/>
      <c r="GMW9" s="4"/>
      <c r="GMX9" s="4"/>
      <c r="GMY9" s="4"/>
      <c r="GMZ9" s="4"/>
      <c r="GNA9" s="4"/>
      <c r="GNB9" s="4"/>
      <c r="GNC9" s="4"/>
      <c r="GND9" s="4"/>
      <c r="GNE9" s="4"/>
      <c r="GNF9" s="4"/>
      <c r="GNG9" s="4"/>
      <c r="GNH9" s="4"/>
      <c r="GNI9" s="4"/>
      <c r="GNJ9" s="4"/>
      <c r="GNK9" s="4"/>
      <c r="GNL9" s="4"/>
      <c r="GNM9" s="4"/>
      <c r="GNN9" s="4"/>
      <c r="GNO9" s="4"/>
      <c r="GNP9" s="4"/>
      <c r="GNQ9" s="4"/>
      <c r="GNR9" s="4"/>
      <c r="GNS9" s="4"/>
      <c r="GNT9" s="4"/>
      <c r="GNU9" s="4"/>
      <c r="GNV9" s="4"/>
      <c r="GNW9" s="4"/>
      <c r="GNX9" s="4"/>
      <c r="GNY9" s="4"/>
      <c r="GNZ9" s="4"/>
      <c r="GOA9" s="4"/>
      <c r="GOB9" s="4"/>
      <c r="GOC9" s="4"/>
      <c r="GOD9" s="4"/>
      <c r="GOE9" s="4"/>
      <c r="GOF9" s="4"/>
      <c r="GOG9" s="4"/>
      <c r="GOH9" s="4"/>
      <c r="GOI9" s="4"/>
      <c r="GOJ9" s="4"/>
      <c r="GOK9" s="4"/>
      <c r="GOL9" s="4"/>
      <c r="GOM9" s="4"/>
      <c r="GON9" s="4"/>
      <c r="GOO9" s="4"/>
      <c r="GOP9" s="4"/>
      <c r="GOQ9" s="4"/>
      <c r="GOR9" s="4"/>
      <c r="GOS9" s="4"/>
      <c r="GOT9" s="4"/>
      <c r="GOU9" s="4"/>
      <c r="GOV9" s="4"/>
      <c r="GOW9" s="4"/>
      <c r="GOX9" s="4"/>
      <c r="GOY9" s="4"/>
      <c r="GOZ9" s="4"/>
      <c r="GPA9" s="4"/>
      <c r="GPB9" s="4"/>
      <c r="GPC9" s="4"/>
      <c r="GPD9" s="4"/>
      <c r="GPE9" s="4"/>
      <c r="GPF9" s="4"/>
      <c r="GPG9" s="4"/>
      <c r="GPH9" s="4"/>
      <c r="GPI9" s="4"/>
      <c r="GPJ9" s="4"/>
      <c r="GPK9" s="4"/>
      <c r="GPL9" s="4"/>
      <c r="GPM9" s="4"/>
      <c r="GPN9" s="4"/>
      <c r="GPO9" s="4"/>
      <c r="GPP9" s="4"/>
      <c r="GPQ9" s="4"/>
      <c r="GPR9" s="4"/>
      <c r="GPS9" s="4"/>
      <c r="GPT9" s="4"/>
      <c r="GPU9" s="4"/>
      <c r="GPV9" s="4"/>
      <c r="GPW9" s="4"/>
      <c r="GPX9" s="4"/>
      <c r="GPY9" s="4"/>
      <c r="GPZ9" s="4"/>
      <c r="GQA9" s="4"/>
      <c r="GQB9" s="4"/>
      <c r="GQC9" s="4"/>
      <c r="GQD9" s="4"/>
      <c r="GQE9" s="4"/>
      <c r="GQF9" s="4"/>
      <c r="GQG9" s="4"/>
      <c r="GQH9" s="4"/>
      <c r="GQI9" s="4"/>
      <c r="GQJ9" s="4"/>
      <c r="GQK9" s="4"/>
      <c r="GQL9" s="4"/>
      <c r="GQM9" s="4"/>
      <c r="GQN9" s="4"/>
      <c r="GQO9" s="4"/>
      <c r="GQP9" s="4"/>
      <c r="GQQ9" s="4"/>
      <c r="GQR9" s="4"/>
      <c r="GQS9" s="4"/>
      <c r="GQT9" s="4"/>
      <c r="GQU9" s="4"/>
      <c r="GQV9" s="4"/>
      <c r="GQW9" s="4"/>
      <c r="GQX9" s="4"/>
      <c r="GQY9" s="4"/>
      <c r="GQZ9" s="4"/>
      <c r="GRA9" s="4"/>
      <c r="GRB9" s="4"/>
      <c r="GRC9" s="4"/>
      <c r="GRD9" s="4"/>
      <c r="GRE9" s="4"/>
      <c r="GRF9" s="4"/>
      <c r="GRG9" s="4"/>
      <c r="GRH9" s="4"/>
      <c r="GRI9" s="4"/>
      <c r="GRJ9" s="4"/>
      <c r="GRK9" s="4"/>
      <c r="GRL9" s="4"/>
      <c r="GRM9" s="4"/>
      <c r="GRN9" s="4"/>
      <c r="GRO9" s="4"/>
      <c r="GRP9" s="4"/>
      <c r="GRQ9" s="4"/>
      <c r="GRR9" s="4"/>
      <c r="GRS9" s="4"/>
      <c r="GRT9" s="4"/>
      <c r="GRU9" s="4"/>
      <c r="GRV9" s="4"/>
      <c r="GRW9" s="4"/>
      <c r="GRX9" s="4"/>
      <c r="GRY9" s="4"/>
      <c r="GRZ9" s="4"/>
      <c r="GSA9" s="4"/>
      <c r="GSB9" s="4"/>
      <c r="GSC9" s="4"/>
      <c r="GSD9" s="4"/>
      <c r="GSE9" s="4"/>
      <c r="GSF9" s="4"/>
      <c r="GSG9" s="4"/>
      <c r="GSH9" s="4"/>
      <c r="GSI9" s="4"/>
      <c r="GSJ9" s="4"/>
      <c r="GSK9" s="4"/>
      <c r="GSL9" s="4"/>
      <c r="GSM9" s="4"/>
      <c r="GSN9" s="4"/>
      <c r="GSO9" s="4"/>
      <c r="GSP9" s="4"/>
      <c r="GSQ9" s="4"/>
      <c r="GSR9" s="4"/>
      <c r="GSS9" s="4"/>
      <c r="GST9" s="4"/>
      <c r="GSU9" s="4"/>
      <c r="GSV9" s="4"/>
      <c r="GSW9" s="4"/>
      <c r="GSX9" s="4"/>
      <c r="GSY9" s="4"/>
      <c r="GSZ9" s="4"/>
      <c r="GTA9" s="4"/>
      <c r="GTB9" s="4"/>
      <c r="GTC9" s="4"/>
      <c r="GTD9" s="4"/>
      <c r="GTE9" s="4"/>
      <c r="GTF9" s="4"/>
      <c r="GTG9" s="4"/>
      <c r="GTH9" s="4"/>
      <c r="GTI9" s="4"/>
      <c r="GTJ9" s="4"/>
      <c r="GTK9" s="4"/>
      <c r="GTL9" s="4"/>
      <c r="GTM9" s="4"/>
      <c r="GTN9" s="4"/>
      <c r="GTO9" s="4"/>
      <c r="GTP9" s="4"/>
      <c r="GTQ9" s="4"/>
      <c r="GTR9" s="4"/>
      <c r="GTS9" s="4"/>
      <c r="GTT9" s="4"/>
      <c r="GTU9" s="4"/>
      <c r="GTV9" s="4"/>
      <c r="GTW9" s="4"/>
      <c r="GTX9" s="4"/>
      <c r="GTY9" s="4"/>
      <c r="GTZ9" s="4"/>
      <c r="GUA9" s="4"/>
      <c r="GUB9" s="4"/>
      <c r="GUC9" s="4"/>
      <c r="GUD9" s="4"/>
      <c r="GUE9" s="4"/>
      <c r="GUF9" s="4"/>
      <c r="GUG9" s="4"/>
      <c r="GUH9" s="4"/>
      <c r="GUI9" s="4"/>
      <c r="GUJ9" s="4"/>
      <c r="GUK9" s="4"/>
      <c r="GUL9" s="4"/>
      <c r="GUM9" s="4"/>
      <c r="GUN9" s="4"/>
      <c r="GUO9" s="4"/>
      <c r="GUP9" s="4"/>
      <c r="GUQ9" s="4"/>
      <c r="GUR9" s="4"/>
      <c r="GUS9" s="4"/>
      <c r="GUT9" s="4"/>
      <c r="GUU9" s="4"/>
      <c r="GUV9" s="4"/>
      <c r="GUW9" s="4"/>
      <c r="GUX9" s="4"/>
      <c r="GUY9" s="4"/>
      <c r="GUZ9" s="4"/>
      <c r="GVA9" s="4"/>
      <c r="GVB9" s="4"/>
      <c r="GVC9" s="4"/>
      <c r="GVD9" s="4"/>
      <c r="GVE9" s="4"/>
      <c r="GVF9" s="4"/>
      <c r="GVG9" s="4"/>
      <c r="GVH9" s="4"/>
      <c r="GVI9" s="4"/>
      <c r="GVJ9" s="4"/>
      <c r="GVK9" s="4"/>
      <c r="GVL9" s="4"/>
      <c r="GVM9" s="4"/>
      <c r="GVN9" s="4"/>
      <c r="GVO9" s="4"/>
      <c r="GVP9" s="4"/>
      <c r="GVQ9" s="4"/>
      <c r="GVR9" s="4"/>
      <c r="GVS9" s="4"/>
      <c r="GVT9" s="4"/>
      <c r="GVU9" s="4"/>
      <c r="GVV9" s="4"/>
      <c r="GVW9" s="4"/>
      <c r="GVX9" s="4"/>
      <c r="GVY9" s="4"/>
      <c r="GVZ9" s="4"/>
      <c r="GWA9" s="4"/>
      <c r="GWB9" s="4"/>
      <c r="GWC9" s="4"/>
      <c r="GWD9" s="4"/>
      <c r="GWE9" s="4"/>
      <c r="GWF9" s="4"/>
      <c r="GWG9" s="4"/>
      <c r="GWH9" s="4"/>
      <c r="GWI9" s="4"/>
      <c r="GWJ9" s="4"/>
      <c r="GWK9" s="4"/>
      <c r="GWL9" s="4"/>
      <c r="GWM9" s="4"/>
      <c r="GWN9" s="4"/>
      <c r="GWO9" s="4"/>
      <c r="GWP9" s="4"/>
      <c r="GWQ9" s="4"/>
      <c r="GWR9" s="4"/>
      <c r="GWS9" s="4"/>
      <c r="GWT9" s="4"/>
      <c r="GWU9" s="4"/>
      <c r="GWV9" s="4"/>
      <c r="GWW9" s="4"/>
      <c r="GWX9" s="4"/>
      <c r="GWY9" s="4"/>
      <c r="GWZ9" s="4"/>
      <c r="GXA9" s="4"/>
      <c r="GXB9" s="4"/>
      <c r="GXC9" s="4"/>
      <c r="GXD9" s="4"/>
      <c r="GXE9" s="4"/>
      <c r="GXF9" s="4"/>
      <c r="GXG9" s="4"/>
      <c r="GXH9" s="4"/>
      <c r="GXI9" s="4"/>
      <c r="GXJ9" s="4"/>
      <c r="GXK9" s="4"/>
      <c r="GXL9" s="4"/>
      <c r="GXM9" s="4"/>
      <c r="GXN9" s="4"/>
      <c r="GXO9" s="4"/>
      <c r="GXP9" s="4"/>
      <c r="GXQ9" s="4"/>
      <c r="GXR9" s="4"/>
      <c r="GXS9" s="4"/>
      <c r="GXT9" s="4"/>
      <c r="GXU9" s="4"/>
      <c r="GXV9" s="4"/>
      <c r="GXW9" s="4"/>
      <c r="GXX9" s="4"/>
      <c r="GXY9" s="4"/>
      <c r="GXZ9" s="4"/>
      <c r="GYA9" s="4"/>
      <c r="GYB9" s="4"/>
      <c r="GYC9" s="4"/>
      <c r="GYD9" s="4"/>
      <c r="GYE9" s="4"/>
      <c r="GYF9" s="4"/>
      <c r="GYG9" s="4"/>
      <c r="GYH9" s="4"/>
      <c r="GYI9" s="4"/>
      <c r="GYJ9" s="4"/>
      <c r="GYK9" s="4"/>
      <c r="GYL9" s="4"/>
      <c r="GYM9" s="4"/>
      <c r="GYN9" s="4"/>
      <c r="GYO9" s="4"/>
      <c r="GYP9" s="4"/>
      <c r="GYQ9" s="4"/>
      <c r="GYR9" s="4"/>
      <c r="GYS9" s="4"/>
      <c r="GYT9" s="4"/>
      <c r="GYU9" s="4"/>
      <c r="GYV9" s="4"/>
      <c r="GYW9" s="4"/>
      <c r="GYX9" s="4"/>
      <c r="GYY9" s="4"/>
      <c r="GYZ9" s="4"/>
      <c r="GZA9" s="4"/>
      <c r="GZB9" s="4"/>
      <c r="GZC9" s="4"/>
      <c r="GZD9" s="4"/>
      <c r="GZE9" s="4"/>
      <c r="GZF9" s="4"/>
      <c r="GZG9" s="4"/>
      <c r="GZH9" s="4"/>
      <c r="GZI9" s="4"/>
      <c r="GZJ9" s="4"/>
      <c r="GZK9" s="4"/>
      <c r="GZL9" s="4"/>
      <c r="GZM9" s="4"/>
      <c r="GZN9" s="4"/>
      <c r="GZO9" s="4"/>
      <c r="GZP9" s="4"/>
      <c r="GZQ9" s="4"/>
      <c r="GZR9" s="4"/>
      <c r="GZS9" s="4"/>
      <c r="GZT9" s="4"/>
      <c r="GZU9" s="4"/>
      <c r="GZV9" s="4"/>
      <c r="GZW9" s="4"/>
      <c r="GZX9" s="4"/>
      <c r="GZY9" s="4"/>
      <c r="GZZ9" s="4"/>
      <c r="HAA9" s="4"/>
      <c r="HAB9" s="4"/>
      <c r="HAC9" s="4"/>
      <c r="HAD9" s="4"/>
      <c r="HAE9" s="4"/>
      <c r="HAF9" s="4"/>
      <c r="HAG9" s="4"/>
      <c r="HAH9" s="4"/>
      <c r="HAI9" s="4"/>
      <c r="HAJ9" s="4"/>
      <c r="HAK9" s="4"/>
      <c r="HAL9" s="4"/>
      <c r="HAM9" s="4"/>
      <c r="HAN9" s="4"/>
      <c r="HAO9" s="4"/>
      <c r="HAP9" s="4"/>
      <c r="HAQ9" s="4"/>
      <c r="HAR9" s="4"/>
      <c r="HAS9" s="4"/>
      <c r="HAT9" s="4"/>
      <c r="HAU9" s="4"/>
      <c r="HAV9" s="4"/>
      <c r="HAW9" s="4"/>
      <c r="HAX9" s="4"/>
      <c r="HAY9" s="4"/>
      <c r="HAZ9" s="4"/>
      <c r="HBA9" s="4"/>
      <c r="HBB9" s="4"/>
      <c r="HBC9" s="4"/>
      <c r="HBD9" s="4"/>
      <c r="HBE9" s="4"/>
      <c r="HBF9" s="4"/>
      <c r="HBG9" s="4"/>
      <c r="HBH9" s="4"/>
      <c r="HBI9" s="4"/>
      <c r="HBJ9" s="4"/>
      <c r="HBK9" s="4"/>
      <c r="HBL9" s="4"/>
      <c r="HBM9" s="4"/>
      <c r="HBN9" s="4"/>
      <c r="HBO9" s="4"/>
      <c r="HBP9" s="4"/>
      <c r="HBQ9" s="4"/>
      <c r="HBR9" s="4"/>
      <c r="HBS9" s="4"/>
      <c r="HBT9" s="4"/>
      <c r="HBU9" s="4"/>
      <c r="HBV9" s="4"/>
      <c r="HBW9" s="4"/>
      <c r="HBX9" s="4"/>
      <c r="HBY9" s="4"/>
      <c r="HBZ9" s="4"/>
      <c r="HCA9" s="4"/>
      <c r="HCB9" s="4"/>
      <c r="HCC9" s="4"/>
      <c r="HCD9" s="4"/>
      <c r="HCE9" s="4"/>
      <c r="HCF9" s="4"/>
      <c r="HCG9" s="4"/>
      <c r="HCH9" s="4"/>
      <c r="HCI9" s="4"/>
      <c r="HCJ9" s="4"/>
      <c r="HCK9" s="4"/>
      <c r="HCL9" s="4"/>
      <c r="HCM9" s="4"/>
      <c r="HCN9" s="4"/>
      <c r="HCO9" s="4"/>
      <c r="HCP9" s="4"/>
      <c r="HCQ9" s="4"/>
      <c r="HCR9" s="4"/>
      <c r="HCS9" s="4"/>
      <c r="HCT9" s="4"/>
      <c r="HCU9" s="4"/>
      <c r="HCV9" s="4"/>
      <c r="HCW9" s="4"/>
      <c r="HCX9" s="4"/>
      <c r="HCY9" s="4"/>
      <c r="HCZ9" s="4"/>
      <c r="HDA9" s="4"/>
      <c r="HDB9" s="4"/>
      <c r="HDC9" s="4"/>
      <c r="HDD9" s="4"/>
      <c r="HDE9" s="4"/>
      <c r="HDF9" s="4"/>
      <c r="HDG9" s="4"/>
      <c r="HDH9" s="4"/>
      <c r="HDI9" s="4"/>
      <c r="HDJ9" s="4"/>
      <c r="HDK9" s="4"/>
      <c r="HDL9" s="4"/>
      <c r="HDM9" s="4"/>
      <c r="HDN9" s="4"/>
      <c r="HDO9" s="4"/>
      <c r="HDP9" s="4"/>
      <c r="HDQ9" s="4"/>
      <c r="HDR9" s="4"/>
      <c r="HDS9" s="4"/>
      <c r="HDT9" s="4"/>
      <c r="HDU9" s="4"/>
      <c r="HDV9" s="4"/>
      <c r="HDW9" s="4"/>
      <c r="HDX9" s="4"/>
      <c r="HDY9" s="4"/>
      <c r="HDZ9" s="4"/>
      <c r="HEA9" s="4"/>
      <c r="HEB9" s="4"/>
      <c r="HEC9" s="4"/>
      <c r="HED9" s="4"/>
      <c r="HEE9" s="4"/>
      <c r="HEF9" s="4"/>
      <c r="HEG9" s="4"/>
      <c r="HEH9" s="4"/>
      <c r="HEI9" s="4"/>
      <c r="HEJ9" s="4"/>
      <c r="HEK9" s="4"/>
      <c r="HEL9" s="4"/>
      <c r="HEM9" s="4"/>
      <c r="HEN9" s="4"/>
      <c r="HEO9" s="4"/>
      <c r="HEP9" s="4"/>
      <c r="HEQ9" s="4"/>
      <c r="HER9" s="4"/>
      <c r="HES9" s="4"/>
      <c r="HET9" s="4"/>
      <c r="HEU9" s="4"/>
      <c r="HEV9" s="4"/>
      <c r="HEW9" s="4"/>
      <c r="HEX9" s="4"/>
      <c r="HEY9" s="4"/>
      <c r="HEZ9" s="4"/>
      <c r="HFA9" s="4"/>
      <c r="HFB9" s="4"/>
      <c r="HFC9" s="4"/>
      <c r="HFD9" s="4"/>
      <c r="HFE9" s="4"/>
      <c r="HFF9" s="4"/>
      <c r="HFG9" s="4"/>
      <c r="HFH9" s="4"/>
      <c r="HFI9" s="4"/>
      <c r="HFJ9" s="4"/>
      <c r="HFK9" s="4"/>
      <c r="HFL9" s="4"/>
      <c r="HFM9" s="4"/>
      <c r="HFN9" s="4"/>
      <c r="HFO9" s="4"/>
      <c r="HFP9" s="4"/>
      <c r="HFQ9" s="4"/>
      <c r="HFR9" s="4"/>
      <c r="HFS9" s="4"/>
      <c r="HFT9" s="4"/>
      <c r="HFU9" s="4"/>
      <c r="HFV9" s="4"/>
      <c r="HFW9" s="4"/>
      <c r="HFX9" s="4"/>
      <c r="HFY9" s="4"/>
      <c r="HFZ9" s="4"/>
      <c r="HGA9" s="4"/>
      <c r="HGB9" s="4"/>
      <c r="HGC9" s="4"/>
      <c r="HGD9" s="4"/>
      <c r="HGE9" s="4"/>
      <c r="HGF9" s="4"/>
      <c r="HGG9" s="4"/>
      <c r="HGH9" s="4"/>
      <c r="HGI9" s="4"/>
      <c r="HGJ9" s="4"/>
      <c r="HGK9" s="4"/>
      <c r="HGL9" s="4"/>
      <c r="HGM9" s="4"/>
      <c r="HGN9" s="4"/>
      <c r="HGO9" s="4"/>
      <c r="HGP9" s="4"/>
      <c r="HGQ9" s="4"/>
      <c r="HGR9" s="4"/>
      <c r="HGS9" s="4"/>
      <c r="HGT9" s="4"/>
      <c r="HGU9" s="4"/>
      <c r="HGV9" s="4"/>
      <c r="HGW9" s="4"/>
      <c r="HGX9" s="4"/>
      <c r="HGY9" s="4"/>
      <c r="HGZ9" s="4"/>
      <c r="HHA9" s="4"/>
      <c r="HHB9" s="4"/>
      <c r="HHC9" s="4"/>
      <c r="HHD9" s="4"/>
      <c r="HHE9" s="4"/>
      <c r="HHF9" s="4"/>
      <c r="HHG9" s="4"/>
      <c r="HHH9" s="4"/>
      <c r="HHI9" s="4"/>
      <c r="HHJ9" s="4"/>
      <c r="HHK9" s="4"/>
      <c r="HHL9" s="4"/>
      <c r="HHM9" s="4"/>
      <c r="HHN9" s="4"/>
      <c r="HHO9" s="4"/>
      <c r="HHP9" s="4"/>
      <c r="HHQ9" s="4"/>
      <c r="HHR9" s="4"/>
      <c r="HHS9" s="4"/>
      <c r="HHT9" s="4"/>
      <c r="HHU9" s="4"/>
      <c r="HHV9" s="4"/>
      <c r="HHW9" s="4"/>
      <c r="HHX9" s="4"/>
      <c r="HHY9" s="4"/>
      <c r="HHZ9" s="4"/>
      <c r="HIA9" s="4"/>
      <c r="HIB9" s="4"/>
      <c r="HIC9" s="4"/>
      <c r="HID9" s="4"/>
      <c r="HIE9" s="4"/>
      <c r="HIF9" s="4"/>
      <c r="HIG9" s="4"/>
      <c r="HIH9" s="4"/>
      <c r="HII9" s="4"/>
      <c r="HIJ9" s="4"/>
      <c r="HIK9" s="4"/>
      <c r="HIL9" s="4"/>
      <c r="HIM9" s="4"/>
      <c r="HIN9" s="4"/>
      <c r="HIO9" s="4"/>
      <c r="HIP9" s="4"/>
      <c r="HIQ9" s="4"/>
      <c r="HIR9" s="4"/>
      <c r="HIS9" s="4"/>
      <c r="HIT9" s="4"/>
      <c r="HIU9" s="4"/>
      <c r="HIV9" s="4"/>
      <c r="HIW9" s="4"/>
      <c r="HIX9" s="4"/>
      <c r="HIY9" s="4"/>
      <c r="HIZ9" s="4"/>
      <c r="HJA9" s="4"/>
      <c r="HJB9" s="4"/>
      <c r="HJC9" s="4"/>
      <c r="HJD9" s="4"/>
      <c r="HJE9" s="4"/>
      <c r="HJF9" s="4"/>
      <c r="HJG9" s="4"/>
      <c r="HJH9" s="4"/>
      <c r="HJI9" s="4"/>
      <c r="HJJ9" s="4"/>
      <c r="HJK9" s="4"/>
      <c r="HJL9" s="4"/>
      <c r="HJM9" s="4"/>
      <c r="HJN9" s="4"/>
      <c r="HJO9" s="4"/>
      <c r="HJP9" s="4"/>
      <c r="HJQ9" s="4"/>
      <c r="HJR9" s="4"/>
      <c r="HJS9" s="4"/>
      <c r="HJT9" s="4"/>
      <c r="HJU9" s="4"/>
      <c r="HJV9" s="4"/>
      <c r="HJW9" s="4"/>
      <c r="HJX9" s="4"/>
      <c r="HJY9" s="4"/>
      <c r="HJZ9" s="4"/>
      <c r="HKA9" s="4"/>
      <c r="HKB9" s="4"/>
      <c r="HKC9" s="4"/>
      <c r="HKD9" s="4"/>
      <c r="HKE9" s="4"/>
      <c r="HKF9" s="4"/>
      <c r="HKG9" s="4"/>
      <c r="HKH9" s="4"/>
      <c r="HKI9" s="4"/>
      <c r="HKJ9" s="4"/>
      <c r="HKK9" s="4"/>
      <c r="HKL9" s="4"/>
      <c r="HKM9" s="4"/>
      <c r="HKN9" s="4"/>
      <c r="HKO9" s="4"/>
      <c r="HKP9" s="4"/>
      <c r="HKQ9" s="4"/>
      <c r="HKR9" s="4"/>
      <c r="HKS9" s="4"/>
      <c r="HKT9" s="4"/>
      <c r="HKU9" s="4"/>
      <c r="HKV9" s="4"/>
      <c r="HKW9" s="4"/>
      <c r="HKX9" s="4"/>
      <c r="HKY9" s="4"/>
      <c r="HKZ9" s="4"/>
      <c r="HLA9" s="4"/>
      <c r="HLB9" s="4"/>
      <c r="HLC9" s="4"/>
      <c r="HLD9" s="4"/>
      <c r="HLE9" s="4"/>
      <c r="HLF9" s="4"/>
      <c r="HLG9" s="4"/>
      <c r="HLH9" s="4"/>
      <c r="HLI9" s="4"/>
      <c r="HLJ9" s="4"/>
      <c r="HLK9" s="4"/>
      <c r="HLL9" s="4"/>
      <c r="HLM9" s="4"/>
      <c r="HLN9" s="4"/>
      <c r="HLO9" s="4"/>
      <c r="HLP9" s="4"/>
      <c r="HLQ9" s="4"/>
      <c r="HLR9" s="4"/>
      <c r="HLS9" s="4"/>
      <c r="HLT9" s="4"/>
      <c r="HLU9" s="4"/>
      <c r="HLV9" s="4"/>
      <c r="HLW9" s="4"/>
      <c r="HLX9" s="4"/>
      <c r="HLY9" s="4"/>
      <c r="HLZ9" s="4"/>
      <c r="HMA9" s="4"/>
      <c r="HMB9" s="4"/>
      <c r="HMC9" s="4"/>
      <c r="HMD9" s="4"/>
      <c r="HME9" s="4"/>
      <c r="HMF9" s="4"/>
      <c r="HMG9" s="4"/>
      <c r="HMH9" s="4"/>
      <c r="HMI9" s="4"/>
      <c r="HMJ9" s="4"/>
      <c r="HMK9" s="4"/>
      <c r="HML9" s="4"/>
      <c r="HMM9" s="4"/>
      <c r="HMN9" s="4"/>
      <c r="HMO9" s="4"/>
      <c r="HMP9" s="4"/>
      <c r="HMQ9" s="4"/>
      <c r="HMR9" s="4"/>
      <c r="HMS9" s="4"/>
      <c r="HMT9" s="4"/>
      <c r="HMU9" s="4"/>
      <c r="HMV9" s="4"/>
      <c r="HMW9" s="4"/>
      <c r="HMX9" s="4"/>
      <c r="HMY9" s="4"/>
      <c r="HMZ9" s="4"/>
      <c r="HNA9" s="4"/>
      <c r="HNB9" s="4"/>
      <c r="HNC9" s="4"/>
      <c r="HND9" s="4"/>
      <c r="HNE9" s="4"/>
      <c r="HNF9" s="4"/>
      <c r="HNG9" s="4"/>
      <c r="HNH9" s="4"/>
      <c r="HNI9" s="4"/>
      <c r="HNJ9" s="4"/>
      <c r="HNK9" s="4"/>
      <c r="HNL9" s="4"/>
      <c r="HNM9" s="4"/>
      <c r="HNN9" s="4"/>
      <c r="HNO9" s="4"/>
      <c r="HNP9" s="4"/>
      <c r="HNQ9" s="4"/>
      <c r="HNR9" s="4"/>
      <c r="HNS9" s="4"/>
      <c r="HNT9" s="4"/>
      <c r="HNU9" s="4"/>
      <c r="HNV9" s="4"/>
      <c r="HNW9" s="4"/>
      <c r="HNX9" s="4"/>
      <c r="HNY9" s="4"/>
      <c r="HNZ9" s="4"/>
      <c r="HOA9" s="4"/>
      <c r="HOB9" s="4"/>
      <c r="HOC9" s="4"/>
      <c r="HOD9" s="4"/>
      <c r="HOE9" s="4"/>
      <c r="HOF9" s="4"/>
      <c r="HOG9" s="4"/>
      <c r="HOH9" s="4"/>
      <c r="HOI9" s="4"/>
      <c r="HOJ9" s="4"/>
      <c r="HOK9" s="4"/>
      <c r="HOL9" s="4"/>
      <c r="HOM9" s="4"/>
      <c r="HON9" s="4"/>
      <c r="HOO9" s="4"/>
      <c r="HOP9" s="4"/>
      <c r="HOQ9" s="4"/>
      <c r="HOR9" s="4"/>
      <c r="HOS9" s="4"/>
      <c r="HOT9" s="4"/>
      <c r="HOU9" s="4"/>
      <c r="HOV9" s="4"/>
      <c r="HOW9" s="4"/>
      <c r="HOX9" s="4"/>
      <c r="HOY9" s="4"/>
      <c r="HOZ9" s="4"/>
      <c r="HPA9" s="4"/>
      <c r="HPB9" s="4"/>
      <c r="HPC9" s="4"/>
      <c r="HPD9" s="4"/>
      <c r="HPE9" s="4"/>
      <c r="HPF9" s="4"/>
      <c r="HPG9" s="4"/>
      <c r="HPH9" s="4"/>
      <c r="HPI9" s="4"/>
      <c r="HPJ9" s="4"/>
      <c r="HPK9" s="4"/>
      <c r="HPL9" s="4"/>
      <c r="HPM9" s="4"/>
      <c r="HPN9" s="4"/>
      <c r="HPO9" s="4"/>
      <c r="HPP9" s="4"/>
      <c r="HPQ9" s="4"/>
      <c r="HPR9" s="4"/>
      <c r="HPS9" s="4"/>
      <c r="HPT9" s="4"/>
      <c r="HPU9" s="4"/>
      <c r="HPV9" s="4"/>
      <c r="HPW9" s="4"/>
      <c r="HPX9" s="4"/>
      <c r="HPY9" s="4"/>
      <c r="HPZ9" s="4"/>
      <c r="HQA9" s="4"/>
      <c r="HQB9" s="4"/>
      <c r="HQC9" s="4"/>
      <c r="HQD9" s="4"/>
      <c r="HQE9" s="4"/>
      <c r="HQF9" s="4"/>
      <c r="HQG9" s="4"/>
      <c r="HQH9" s="4"/>
      <c r="HQI9" s="4"/>
      <c r="HQJ9" s="4"/>
      <c r="HQK9" s="4"/>
      <c r="HQL9" s="4"/>
      <c r="HQM9" s="4"/>
      <c r="HQN9" s="4"/>
      <c r="HQO9" s="4"/>
      <c r="HQP9" s="4"/>
      <c r="HQQ9" s="4"/>
      <c r="HQR9" s="4"/>
      <c r="HQS9" s="4"/>
      <c r="HQT9" s="4"/>
      <c r="HQU9" s="4"/>
      <c r="HQV9" s="4"/>
      <c r="HQW9" s="4"/>
      <c r="HQX9" s="4"/>
      <c r="HQY9" s="4"/>
      <c r="HQZ9" s="4"/>
      <c r="HRA9" s="4"/>
      <c r="HRB9" s="4"/>
      <c r="HRC9" s="4"/>
      <c r="HRD9" s="4"/>
      <c r="HRE9" s="4"/>
      <c r="HRF9" s="4"/>
      <c r="HRG9" s="4"/>
      <c r="HRH9" s="4"/>
      <c r="HRI9" s="4"/>
      <c r="HRJ9" s="4"/>
      <c r="HRK9" s="4"/>
      <c r="HRL9" s="4"/>
      <c r="HRM9" s="4"/>
      <c r="HRN9" s="4"/>
      <c r="HRO9" s="4"/>
      <c r="HRP9" s="4"/>
      <c r="HRQ9" s="4"/>
      <c r="HRR9" s="4"/>
      <c r="HRS9" s="4"/>
      <c r="HRT9" s="4"/>
      <c r="HRU9" s="4"/>
      <c r="HRV9" s="4"/>
      <c r="HRW9" s="4"/>
      <c r="HRX9" s="4"/>
      <c r="HRY9" s="4"/>
      <c r="HRZ9" s="4"/>
      <c r="HSA9" s="4"/>
      <c r="HSB9" s="4"/>
      <c r="HSC9" s="4"/>
      <c r="HSD9" s="4"/>
      <c r="HSE9" s="4"/>
      <c r="HSF9" s="4"/>
      <c r="HSG9" s="4"/>
      <c r="HSH9" s="4"/>
      <c r="HSI9" s="4"/>
      <c r="HSJ9" s="4"/>
      <c r="HSK9" s="4"/>
      <c r="HSL9" s="4"/>
      <c r="HSM9" s="4"/>
      <c r="HSN9" s="4"/>
      <c r="HSO9" s="4"/>
      <c r="HSP9" s="4"/>
      <c r="HSQ9" s="4"/>
      <c r="HSR9" s="4"/>
      <c r="HSS9" s="4"/>
      <c r="HST9" s="4"/>
      <c r="HSU9" s="4"/>
      <c r="HSV9" s="4"/>
      <c r="HSW9" s="4"/>
      <c r="HSX9" s="4"/>
      <c r="HSY9" s="4"/>
      <c r="HSZ9" s="4"/>
      <c r="HTA9" s="4"/>
      <c r="HTB9" s="4"/>
      <c r="HTC9" s="4"/>
      <c r="HTD9" s="4"/>
      <c r="HTE9" s="4"/>
      <c r="HTF9" s="4"/>
      <c r="HTG9" s="4"/>
      <c r="HTH9" s="4"/>
      <c r="HTI9" s="4"/>
      <c r="HTJ9" s="4"/>
      <c r="HTK9" s="4"/>
      <c r="HTL9" s="4"/>
      <c r="HTM9" s="4"/>
      <c r="HTN9" s="4"/>
      <c r="HTO9" s="4"/>
      <c r="HTP9" s="4"/>
      <c r="HTQ9" s="4"/>
      <c r="HTR9" s="4"/>
      <c r="HTS9" s="4"/>
      <c r="HTT9" s="4"/>
      <c r="HTU9" s="4"/>
      <c r="HTV9" s="4"/>
      <c r="HTW9" s="4"/>
      <c r="HTX9" s="4"/>
      <c r="HTY9" s="4"/>
      <c r="HTZ9" s="4"/>
      <c r="HUA9" s="4"/>
      <c r="HUB9" s="4"/>
      <c r="HUC9" s="4"/>
      <c r="HUD9" s="4"/>
      <c r="HUE9" s="4"/>
      <c r="HUF9" s="4"/>
      <c r="HUG9" s="4"/>
      <c r="HUH9" s="4"/>
      <c r="HUI9" s="4"/>
      <c r="HUJ9" s="4"/>
      <c r="HUK9" s="4"/>
      <c r="HUL9" s="4"/>
      <c r="HUM9" s="4"/>
      <c r="HUN9" s="4"/>
      <c r="HUO9" s="4"/>
      <c r="HUP9" s="4"/>
      <c r="HUQ9" s="4"/>
      <c r="HUR9" s="4"/>
      <c r="HUS9" s="4"/>
      <c r="HUT9" s="4"/>
      <c r="HUU9" s="4"/>
      <c r="HUV9" s="4"/>
      <c r="HUW9" s="4"/>
      <c r="HUX9" s="4"/>
      <c r="HUY9" s="4"/>
      <c r="HUZ9" s="4"/>
      <c r="HVA9" s="4"/>
      <c r="HVB9" s="4"/>
      <c r="HVC9" s="4"/>
      <c r="HVD9" s="4"/>
      <c r="HVE9" s="4"/>
      <c r="HVF9" s="4"/>
      <c r="HVG9" s="4"/>
      <c r="HVH9" s="4"/>
      <c r="HVI9" s="4"/>
      <c r="HVJ9" s="4"/>
      <c r="HVK9" s="4"/>
      <c r="HVL9" s="4"/>
      <c r="HVM9" s="4"/>
      <c r="HVN9" s="4"/>
      <c r="HVO9" s="4"/>
      <c r="HVP9" s="4"/>
      <c r="HVQ9" s="4"/>
      <c r="HVR9" s="4"/>
      <c r="HVS9" s="4"/>
      <c r="HVT9" s="4"/>
      <c r="HVU9" s="4"/>
      <c r="HVV9" s="4"/>
      <c r="HVW9" s="4"/>
      <c r="HVX9" s="4"/>
      <c r="HVY9" s="4"/>
      <c r="HVZ9" s="4"/>
      <c r="HWA9" s="4"/>
      <c r="HWB9" s="4"/>
      <c r="HWC9" s="4"/>
      <c r="HWD9" s="4"/>
      <c r="HWE9" s="4"/>
      <c r="HWF9" s="4"/>
      <c r="HWG9" s="4"/>
      <c r="HWH9" s="4"/>
      <c r="HWI9" s="4"/>
      <c r="HWJ9" s="4"/>
      <c r="HWK9" s="4"/>
      <c r="HWL9" s="4"/>
      <c r="HWM9" s="4"/>
      <c r="HWN9" s="4"/>
      <c r="HWO9" s="4"/>
      <c r="HWP9" s="4"/>
      <c r="HWQ9" s="4"/>
      <c r="HWR9" s="4"/>
      <c r="HWS9" s="4"/>
      <c r="HWT9" s="4"/>
      <c r="HWU9" s="4"/>
      <c r="HWV9" s="4"/>
      <c r="HWW9" s="4"/>
      <c r="HWX9" s="4"/>
      <c r="HWY9" s="4"/>
      <c r="HWZ9" s="4"/>
      <c r="HXA9" s="4"/>
      <c r="HXB9" s="4"/>
      <c r="HXC9" s="4"/>
      <c r="HXD9" s="4"/>
      <c r="HXE9" s="4"/>
      <c r="HXF9" s="4"/>
      <c r="HXG9" s="4"/>
      <c r="HXH9" s="4"/>
      <c r="HXI9" s="4"/>
      <c r="HXJ9" s="4"/>
      <c r="HXK9" s="4"/>
      <c r="HXL9" s="4"/>
      <c r="HXM9" s="4"/>
      <c r="HXN9" s="4"/>
      <c r="HXO9" s="4"/>
      <c r="HXP9" s="4"/>
      <c r="HXQ9" s="4"/>
      <c r="HXR9" s="4"/>
      <c r="HXS9" s="4"/>
      <c r="HXT9" s="4"/>
      <c r="HXU9" s="4"/>
      <c r="HXV9" s="4"/>
      <c r="HXW9" s="4"/>
      <c r="HXX9" s="4"/>
      <c r="HXY9" s="4"/>
      <c r="HXZ9" s="4"/>
      <c r="HYA9" s="4"/>
      <c r="HYB9" s="4"/>
      <c r="HYC9" s="4"/>
      <c r="HYD9" s="4"/>
      <c r="HYE9" s="4"/>
      <c r="HYF9" s="4"/>
      <c r="HYG9" s="4"/>
      <c r="HYH9" s="4"/>
      <c r="HYI9" s="4"/>
      <c r="HYJ9" s="4"/>
      <c r="HYK9" s="4"/>
      <c r="HYL9" s="4"/>
      <c r="HYM9" s="4"/>
      <c r="HYN9" s="4"/>
      <c r="HYO9" s="4"/>
      <c r="HYP9" s="4"/>
      <c r="HYQ9" s="4"/>
      <c r="HYR9" s="4"/>
      <c r="HYS9" s="4"/>
      <c r="HYT9" s="4"/>
      <c r="HYU9" s="4"/>
      <c r="HYV9" s="4"/>
      <c r="HYW9" s="4"/>
      <c r="HYX9" s="4"/>
      <c r="HYY9" s="4"/>
      <c r="HYZ9" s="4"/>
      <c r="HZA9" s="4"/>
      <c r="HZB9" s="4"/>
      <c r="HZC9" s="4"/>
      <c r="HZD9" s="4"/>
      <c r="HZE9" s="4"/>
      <c r="HZF9" s="4"/>
      <c r="HZG9" s="4"/>
      <c r="HZH9" s="4"/>
      <c r="HZI9" s="4"/>
      <c r="HZJ9" s="4"/>
      <c r="HZK9" s="4"/>
      <c r="HZL9" s="4"/>
      <c r="HZM9" s="4"/>
      <c r="HZN9" s="4"/>
      <c r="HZO9" s="4"/>
      <c r="HZP9" s="4"/>
      <c r="HZQ9" s="4"/>
      <c r="HZR9" s="4"/>
      <c r="HZS9" s="4"/>
      <c r="HZT9" s="4"/>
      <c r="HZU9" s="4"/>
      <c r="HZV9" s="4"/>
      <c r="HZW9" s="4"/>
      <c r="HZX9" s="4"/>
      <c r="HZY9" s="4"/>
      <c r="HZZ9" s="4"/>
      <c r="IAA9" s="4"/>
      <c r="IAB9" s="4"/>
      <c r="IAC9" s="4"/>
      <c r="IAD9" s="4"/>
      <c r="IAE9" s="4"/>
      <c r="IAF9" s="4"/>
      <c r="IAG9" s="4"/>
      <c r="IAH9" s="4"/>
      <c r="IAI9" s="4"/>
      <c r="IAJ9" s="4"/>
      <c r="IAK9" s="4"/>
      <c r="IAL9" s="4"/>
      <c r="IAM9" s="4"/>
      <c r="IAN9" s="4"/>
      <c r="IAO9" s="4"/>
      <c r="IAP9" s="4"/>
      <c r="IAQ9" s="4"/>
      <c r="IAR9" s="4"/>
      <c r="IAS9" s="4"/>
      <c r="IAT9" s="4"/>
      <c r="IAU9" s="4"/>
      <c r="IAV9" s="4"/>
      <c r="IAW9" s="4"/>
      <c r="IAX9" s="4"/>
      <c r="IAY9" s="4"/>
      <c r="IAZ9" s="4"/>
      <c r="IBA9" s="4"/>
      <c r="IBB9" s="4"/>
      <c r="IBC9" s="4"/>
      <c r="IBD9" s="4"/>
      <c r="IBE9" s="4"/>
      <c r="IBF9" s="4"/>
      <c r="IBG9" s="4"/>
      <c r="IBH9" s="4"/>
      <c r="IBI9" s="4"/>
      <c r="IBJ9" s="4"/>
      <c r="IBK9" s="4"/>
      <c r="IBL9" s="4"/>
      <c r="IBM9" s="4"/>
      <c r="IBN9" s="4"/>
      <c r="IBO9" s="4"/>
      <c r="IBP9" s="4"/>
      <c r="IBQ9" s="4"/>
      <c r="IBR9" s="4"/>
      <c r="IBS9" s="4"/>
      <c r="IBT9" s="4"/>
      <c r="IBU9" s="4"/>
      <c r="IBV9" s="4"/>
      <c r="IBW9" s="4"/>
      <c r="IBX9" s="4"/>
      <c r="IBY9" s="4"/>
      <c r="IBZ9" s="4"/>
      <c r="ICA9" s="4"/>
      <c r="ICB9" s="4"/>
      <c r="ICC9" s="4"/>
      <c r="ICD9" s="4"/>
      <c r="ICE9" s="4"/>
      <c r="ICF9" s="4"/>
      <c r="ICG9" s="4"/>
      <c r="ICH9" s="4"/>
      <c r="ICI9" s="4"/>
      <c r="ICJ9" s="4"/>
      <c r="ICK9" s="4"/>
      <c r="ICL9" s="4"/>
      <c r="ICM9" s="4"/>
      <c r="ICN9" s="4"/>
      <c r="ICO9" s="4"/>
      <c r="ICP9" s="4"/>
      <c r="ICQ9" s="4"/>
      <c r="ICR9" s="4"/>
      <c r="ICS9" s="4"/>
      <c r="ICT9" s="4"/>
      <c r="ICU9" s="4"/>
      <c r="ICV9" s="4"/>
      <c r="ICW9" s="4"/>
      <c r="ICX9" s="4"/>
      <c r="ICY9" s="4"/>
      <c r="ICZ9" s="4"/>
      <c r="IDA9" s="4"/>
      <c r="IDB9" s="4"/>
      <c r="IDC9" s="4"/>
      <c r="IDD9" s="4"/>
      <c r="IDE9" s="4"/>
      <c r="IDF9" s="4"/>
      <c r="IDG9" s="4"/>
      <c r="IDH9" s="4"/>
      <c r="IDI9" s="4"/>
      <c r="IDJ9" s="4"/>
      <c r="IDK9" s="4"/>
      <c r="IDL9" s="4"/>
      <c r="IDM9" s="4"/>
      <c r="IDN9" s="4"/>
      <c r="IDO9" s="4"/>
      <c r="IDP9" s="4"/>
      <c r="IDQ9" s="4"/>
      <c r="IDR9" s="4"/>
      <c r="IDS9" s="4"/>
      <c r="IDT9" s="4"/>
      <c r="IDU9" s="4"/>
      <c r="IDV9" s="4"/>
      <c r="IDW9" s="4"/>
      <c r="IDX9" s="4"/>
      <c r="IDY9" s="4"/>
      <c r="IDZ9" s="4"/>
      <c r="IEA9" s="4"/>
      <c r="IEB9" s="4"/>
      <c r="IEC9" s="4"/>
      <c r="IED9" s="4"/>
      <c r="IEE9" s="4"/>
      <c r="IEF9" s="4"/>
      <c r="IEG9" s="4"/>
      <c r="IEH9" s="4"/>
      <c r="IEI9" s="4"/>
      <c r="IEJ9" s="4"/>
      <c r="IEK9" s="4"/>
      <c r="IEL9" s="4"/>
      <c r="IEM9" s="4"/>
      <c r="IEN9" s="4"/>
      <c r="IEO9" s="4"/>
      <c r="IEP9" s="4"/>
      <c r="IEQ9" s="4"/>
      <c r="IER9" s="4"/>
      <c r="IES9" s="4"/>
      <c r="IET9" s="4"/>
      <c r="IEU9" s="4"/>
      <c r="IEV9" s="4"/>
      <c r="IEW9" s="4"/>
      <c r="IEX9" s="4"/>
      <c r="IEY9" s="4"/>
      <c r="IEZ9" s="4"/>
      <c r="IFA9" s="4"/>
      <c r="IFB9" s="4"/>
      <c r="IFC9" s="4"/>
      <c r="IFD9" s="4"/>
      <c r="IFE9" s="4"/>
      <c r="IFF9" s="4"/>
      <c r="IFG9" s="4"/>
      <c r="IFH9" s="4"/>
      <c r="IFI9" s="4"/>
      <c r="IFJ9" s="4"/>
      <c r="IFK9" s="4"/>
      <c r="IFL9" s="4"/>
      <c r="IFM9" s="4"/>
      <c r="IFN9" s="4"/>
      <c r="IFO9" s="4"/>
      <c r="IFP9" s="4"/>
      <c r="IFQ9" s="4"/>
      <c r="IFR9" s="4"/>
      <c r="IFS9" s="4"/>
      <c r="IFT9" s="4"/>
      <c r="IFU9" s="4"/>
      <c r="IFV9" s="4"/>
      <c r="IFW9" s="4"/>
      <c r="IFX9" s="4"/>
      <c r="IFY9" s="4"/>
      <c r="IFZ9" s="4"/>
      <c r="IGA9" s="4"/>
      <c r="IGB9" s="4"/>
      <c r="IGC9" s="4"/>
      <c r="IGD9" s="4"/>
      <c r="IGE9" s="4"/>
      <c r="IGF9" s="4"/>
      <c r="IGG9" s="4"/>
      <c r="IGH9" s="4"/>
      <c r="IGI9" s="4"/>
      <c r="IGJ9" s="4"/>
      <c r="IGK9" s="4"/>
      <c r="IGL9" s="4"/>
      <c r="IGM9" s="4"/>
      <c r="IGN9" s="4"/>
      <c r="IGO9" s="4"/>
      <c r="IGP9" s="4"/>
      <c r="IGQ9" s="4"/>
      <c r="IGR9" s="4"/>
      <c r="IGS9" s="4"/>
      <c r="IGT9" s="4"/>
      <c r="IGU9" s="4"/>
      <c r="IGV9" s="4"/>
      <c r="IGW9" s="4"/>
      <c r="IGX9" s="4"/>
      <c r="IGY9" s="4"/>
      <c r="IGZ9" s="4"/>
      <c r="IHA9" s="4"/>
      <c r="IHB9" s="4"/>
      <c r="IHC9" s="4"/>
      <c r="IHD9" s="4"/>
      <c r="IHE9" s="4"/>
      <c r="IHF9" s="4"/>
      <c r="IHG9" s="4"/>
      <c r="IHH9" s="4"/>
      <c r="IHI9" s="4"/>
      <c r="IHJ9" s="4"/>
      <c r="IHK9" s="4"/>
      <c r="IHL9" s="4"/>
      <c r="IHM9" s="4"/>
      <c r="IHN9" s="4"/>
      <c r="IHO9" s="4"/>
      <c r="IHP9" s="4"/>
      <c r="IHQ9" s="4"/>
      <c r="IHR9" s="4"/>
      <c r="IHS9" s="4"/>
      <c r="IHT9" s="4"/>
      <c r="IHU9" s="4"/>
      <c r="IHV9" s="4"/>
      <c r="IHW9" s="4"/>
      <c r="IHX9" s="4"/>
      <c r="IHY9" s="4"/>
      <c r="IHZ9" s="4"/>
      <c r="IIA9" s="4"/>
      <c r="IIB9" s="4"/>
      <c r="IIC9" s="4"/>
      <c r="IID9" s="4"/>
      <c r="IIE9" s="4"/>
      <c r="IIF9" s="4"/>
      <c r="IIG9" s="4"/>
      <c r="IIH9" s="4"/>
      <c r="III9" s="4"/>
      <c r="IIJ9" s="4"/>
      <c r="IIK9" s="4"/>
      <c r="IIL9" s="4"/>
      <c r="IIM9" s="4"/>
      <c r="IIN9" s="4"/>
      <c r="IIO9" s="4"/>
      <c r="IIP9" s="4"/>
      <c r="IIQ9" s="4"/>
      <c r="IIR9" s="4"/>
      <c r="IIS9" s="4"/>
      <c r="IIT9" s="4"/>
      <c r="IIU9" s="4"/>
      <c r="IIV9" s="4"/>
      <c r="IIW9" s="4"/>
      <c r="IIX9" s="4"/>
      <c r="IIY9" s="4"/>
      <c r="IIZ9" s="4"/>
      <c r="IJA9" s="4"/>
      <c r="IJB9" s="4"/>
      <c r="IJC9" s="4"/>
      <c r="IJD9" s="4"/>
      <c r="IJE9" s="4"/>
      <c r="IJF9" s="4"/>
      <c r="IJG9" s="4"/>
      <c r="IJH9" s="4"/>
      <c r="IJI9" s="4"/>
      <c r="IJJ9" s="4"/>
      <c r="IJK9" s="4"/>
      <c r="IJL9" s="4"/>
      <c r="IJM9" s="4"/>
      <c r="IJN9" s="4"/>
      <c r="IJO9" s="4"/>
      <c r="IJP9" s="4"/>
      <c r="IJQ9" s="4"/>
      <c r="IJR9" s="4"/>
      <c r="IJS9" s="4"/>
      <c r="IJT9" s="4"/>
      <c r="IJU9" s="4"/>
      <c r="IJV9" s="4"/>
      <c r="IJW9" s="4"/>
      <c r="IJX9" s="4"/>
      <c r="IJY9" s="4"/>
      <c r="IJZ9" s="4"/>
      <c r="IKA9" s="4"/>
      <c r="IKB9" s="4"/>
      <c r="IKC9" s="4"/>
      <c r="IKD9" s="4"/>
      <c r="IKE9" s="4"/>
      <c r="IKF9" s="4"/>
      <c r="IKG9" s="4"/>
      <c r="IKH9" s="4"/>
      <c r="IKI9" s="4"/>
      <c r="IKJ9" s="4"/>
      <c r="IKK9" s="4"/>
      <c r="IKL9" s="4"/>
      <c r="IKM9" s="4"/>
      <c r="IKN9" s="4"/>
      <c r="IKO9" s="4"/>
      <c r="IKP9" s="4"/>
      <c r="IKQ9" s="4"/>
      <c r="IKR9" s="4"/>
      <c r="IKS9" s="4"/>
      <c r="IKT9" s="4"/>
      <c r="IKU9" s="4"/>
      <c r="IKV9" s="4"/>
      <c r="IKW9" s="4"/>
      <c r="IKX9" s="4"/>
      <c r="IKY9" s="4"/>
      <c r="IKZ9" s="4"/>
      <c r="ILA9" s="4"/>
      <c r="ILB9" s="4"/>
      <c r="ILC9" s="4"/>
      <c r="ILD9" s="4"/>
      <c r="ILE9" s="4"/>
      <c r="ILF9" s="4"/>
      <c r="ILG9" s="4"/>
      <c r="ILH9" s="4"/>
      <c r="ILI9" s="4"/>
      <c r="ILJ9" s="4"/>
      <c r="ILK9" s="4"/>
      <c r="ILL9" s="4"/>
      <c r="ILM9" s="4"/>
      <c r="ILN9" s="4"/>
      <c r="ILO9" s="4"/>
      <c r="ILP9" s="4"/>
      <c r="ILQ9" s="4"/>
      <c r="ILR9" s="4"/>
      <c r="ILS9" s="4"/>
      <c r="ILT9" s="4"/>
      <c r="ILU9" s="4"/>
      <c r="ILV9" s="4"/>
      <c r="ILW9" s="4"/>
      <c r="ILX9" s="4"/>
      <c r="ILY9" s="4"/>
      <c r="ILZ9" s="4"/>
      <c r="IMA9" s="4"/>
      <c r="IMB9" s="4"/>
      <c r="IMC9" s="4"/>
      <c r="IMD9" s="4"/>
      <c r="IME9" s="4"/>
      <c r="IMF9" s="4"/>
      <c r="IMG9" s="4"/>
      <c r="IMH9" s="4"/>
      <c r="IMI9" s="4"/>
      <c r="IMJ9" s="4"/>
      <c r="IMK9" s="4"/>
      <c r="IML9" s="4"/>
      <c r="IMM9" s="4"/>
      <c r="IMN9" s="4"/>
      <c r="IMO9" s="4"/>
      <c r="IMP9" s="4"/>
      <c r="IMQ9" s="4"/>
      <c r="IMR9" s="4"/>
      <c r="IMS9" s="4"/>
      <c r="IMT9" s="4"/>
      <c r="IMU9" s="4"/>
      <c r="IMV9" s="4"/>
      <c r="IMW9" s="4"/>
      <c r="IMX9" s="4"/>
      <c r="IMY9" s="4"/>
      <c r="IMZ9" s="4"/>
      <c r="INA9" s="4"/>
      <c r="INB9" s="4"/>
      <c r="INC9" s="4"/>
      <c r="IND9" s="4"/>
      <c r="INE9" s="4"/>
      <c r="INF9" s="4"/>
      <c r="ING9" s="4"/>
      <c r="INH9" s="4"/>
      <c r="INI9" s="4"/>
      <c r="INJ9" s="4"/>
      <c r="INK9" s="4"/>
      <c r="INL9" s="4"/>
      <c r="INM9" s="4"/>
      <c r="INN9" s="4"/>
      <c r="INO9" s="4"/>
      <c r="INP9" s="4"/>
      <c r="INQ9" s="4"/>
      <c r="INR9" s="4"/>
      <c r="INS9" s="4"/>
      <c r="INT9" s="4"/>
      <c r="INU9" s="4"/>
      <c r="INV9" s="4"/>
      <c r="INW9" s="4"/>
      <c r="INX9" s="4"/>
      <c r="INY9" s="4"/>
      <c r="INZ9" s="4"/>
      <c r="IOA9" s="4"/>
      <c r="IOB9" s="4"/>
      <c r="IOC9" s="4"/>
      <c r="IOD9" s="4"/>
      <c r="IOE9" s="4"/>
      <c r="IOF9" s="4"/>
      <c r="IOG9" s="4"/>
      <c r="IOH9" s="4"/>
      <c r="IOI9" s="4"/>
      <c r="IOJ9" s="4"/>
      <c r="IOK9" s="4"/>
      <c r="IOL9" s="4"/>
      <c r="IOM9" s="4"/>
      <c r="ION9" s="4"/>
      <c r="IOO9" s="4"/>
      <c r="IOP9" s="4"/>
      <c r="IOQ9" s="4"/>
      <c r="IOR9" s="4"/>
      <c r="IOS9" s="4"/>
      <c r="IOT9" s="4"/>
      <c r="IOU9" s="4"/>
      <c r="IOV9" s="4"/>
      <c r="IOW9" s="4"/>
      <c r="IOX9" s="4"/>
      <c r="IOY9" s="4"/>
      <c r="IOZ9" s="4"/>
      <c r="IPA9" s="4"/>
      <c r="IPB9" s="4"/>
      <c r="IPC9" s="4"/>
      <c r="IPD9" s="4"/>
      <c r="IPE9" s="4"/>
      <c r="IPF9" s="4"/>
      <c r="IPG9" s="4"/>
      <c r="IPH9" s="4"/>
      <c r="IPI9" s="4"/>
      <c r="IPJ9" s="4"/>
      <c r="IPK9" s="4"/>
      <c r="IPL9" s="4"/>
      <c r="IPM9" s="4"/>
      <c r="IPN9" s="4"/>
      <c r="IPO9" s="4"/>
      <c r="IPP9" s="4"/>
      <c r="IPQ9" s="4"/>
      <c r="IPR9" s="4"/>
      <c r="IPS9" s="4"/>
      <c r="IPT9" s="4"/>
      <c r="IPU9" s="4"/>
      <c r="IPV9" s="4"/>
      <c r="IPW9" s="4"/>
      <c r="IPX9" s="4"/>
      <c r="IPY9" s="4"/>
      <c r="IPZ9" s="4"/>
      <c r="IQA9" s="4"/>
      <c r="IQB9" s="4"/>
      <c r="IQC9" s="4"/>
      <c r="IQD9" s="4"/>
      <c r="IQE9" s="4"/>
      <c r="IQF9" s="4"/>
      <c r="IQG9" s="4"/>
      <c r="IQH9" s="4"/>
      <c r="IQI9" s="4"/>
      <c r="IQJ9" s="4"/>
      <c r="IQK9" s="4"/>
      <c r="IQL9" s="4"/>
      <c r="IQM9" s="4"/>
      <c r="IQN9" s="4"/>
      <c r="IQO9" s="4"/>
      <c r="IQP9" s="4"/>
      <c r="IQQ9" s="4"/>
      <c r="IQR9" s="4"/>
      <c r="IQS9" s="4"/>
      <c r="IQT9" s="4"/>
      <c r="IQU9" s="4"/>
      <c r="IQV9" s="4"/>
      <c r="IQW9" s="4"/>
      <c r="IQX9" s="4"/>
      <c r="IQY9" s="4"/>
      <c r="IQZ9" s="4"/>
      <c r="IRA9" s="4"/>
      <c r="IRB9" s="4"/>
      <c r="IRC9" s="4"/>
      <c r="IRD9" s="4"/>
      <c r="IRE9" s="4"/>
      <c r="IRF9" s="4"/>
      <c r="IRG9" s="4"/>
      <c r="IRH9" s="4"/>
      <c r="IRI9" s="4"/>
      <c r="IRJ9" s="4"/>
      <c r="IRK9" s="4"/>
      <c r="IRL9" s="4"/>
      <c r="IRM9" s="4"/>
      <c r="IRN9" s="4"/>
      <c r="IRO9" s="4"/>
      <c r="IRP9" s="4"/>
      <c r="IRQ9" s="4"/>
      <c r="IRR9" s="4"/>
      <c r="IRS9" s="4"/>
      <c r="IRT9" s="4"/>
      <c r="IRU9" s="4"/>
      <c r="IRV9" s="4"/>
      <c r="IRW9" s="4"/>
      <c r="IRX9" s="4"/>
      <c r="IRY9" s="4"/>
      <c r="IRZ9" s="4"/>
      <c r="ISA9" s="4"/>
      <c r="ISB9" s="4"/>
      <c r="ISC9" s="4"/>
      <c r="ISD9" s="4"/>
      <c r="ISE9" s="4"/>
      <c r="ISF9" s="4"/>
      <c r="ISG9" s="4"/>
      <c r="ISH9" s="4"/>
      <c r="ISI9" s="4"/>
      <c r="ISJ9" s="4"/>
      <c r="ISK9" s="4"/>
      <c r="ISL9" s="4"/>
      <c r="ISM9" s="4"/>
      <c r="ISN9" s="4"/>
      <c r="ISO9" s="4"/>
      <c r="ISP9" s="4"/>
      <c r="ISQ9" s="4"/>
      <c r="ISR9" s="4"/>
      <c r="ISS9" s="4"/>
      <c r="IST9" s="4"/>
      <c r="ISU9" s="4"/>
      <c r="ISV9" s="4"/>
      <c r="ISW9" s="4"/>
      <c r="ISX9" s="4"/>
      <c r="ISY9" s="4"/>
      <c r="ISZ9" s="4"/>
      <c r="ITA9" s="4"/>
      <c r="ITB9" s="4"/>
      <c r="ITC9" s="4"/>
      <c r="ITD9" s="4"/>
      <c r="ITE9" s="4"/>
      <c r="ITF9" s="4"/>
      <c r="ITG9" s="4"/>
      <c r="ITH9" s="4"/>
      <c r="ITI9" s="4"/>
      <c r="ITJ9" s="4"/>
      <c r="ITK9" s="4"/>
      <c r="ITL9" s="4"/>
      <c r="ITM9" s="4"/>
      <c r="ITN9" s="4"/>
      <c r="ITO9" s="4"/>
      <c r="ITP9" s="4"/>
      <c r="ITQ9" s="4"/>
      <c r="ITR9" s="4"/>
      <c r="ITS9" s="4"/>
      <c r="ITT9" s="4"/>
      <c r="ITU9" s="4"/>
      <c r="ITV9" s="4"/>
      <c r="ITW9" s="4"/>
      <c r="ITX9" s="4"/>
      <c r="ITY9" s="4"/>
      <c r="ITZ9" s="4"/>
      <c r="IUA9" s="4"/>
      <c r="IUB9" s="4"/>
      <c r="IUC9" s="4"/>
      <c r="IUD9" s="4"/>
      <c r="IUE9" s="4"/>
      <c r="IUF9" s="4"/>
      <c r="IUG9" s="4"/>
      <c r="IUH9" s="4"/>
      <c r="IUI9" s="4"/>
      <c r="IUJ9" s="4"/>
      <c r="IUK9" s="4"/>
      <c r="IUL9" s="4"/>
      <c r="IUM9" s="4"/>
      <c r="IUN9" s="4"/>
      <c r="IUO9" s="4"/>
      <c r="IUP9" s="4"/>
      <c r="IUQ9" s="4"/>
      <c r="IUR9" s="4"/>
      <c r="IUS9" s="4"/>
      <c r="IUT9" s="4"/>
      <c r="IUU9" s="4"/>
      <c r="IUV9" s="4"/>
      <c r="IUW9" s="4"/>
      <c r="IUX9" s="4"/>
      <c r="IUY9" s="4"/>
      <c r="IUZ9" s="4"/>
      <c r="IVA9" s="4"/>
      <c r="IVB9" s="4"/>
      <c r="IVC9" s="4"/>
      <c r="IVD9" s="4"/>
      <c r="IVE9" s="4"/>
      <c r="IVF9" s="4"/>
      <c r="IVG9" s="4"/>
      <c r="IVH9" s="4"/>
      <c r="IVI9" s="4"/>
      <c r="IVJ9" s="4"/>
      <c r="IVK9" s="4"/>
      <c r="IVL9" s="4"/>
      <c r="IVM9" s="4"/>
      <c r="IVN9" s="4"/>
      <c r="IVO9" s="4"/>
      <c r="IVP9" s="4"/>
      <c r="IVQ9" s="4"/>
      <c r="IVR9" s="4"/>
      <c r="IVS9" s="4"/>
      <c r="IVT9" s="4"/>
      <c r="IVU9" s="4"/>
      <c r="IVV9" s="4"/>
      <c r="IVW9" s="4"/>
      <c r="IVX9" s="4"/>
      <c r="IVY9" s="4"/>
      <c r="IVZ9" s="4"/>
      <c r="IWA9" s="4"/>
      <c r="IWB9" s="4"/>
      <c r="IWC9" s="4"/>
      <c r="IWD9" s="4"/>
      <c r="IWE9" s="4"/>
      <c r="IWF9" s="4"/>
      <c r="IWG9" s="4"/>
      <c r="IWH9" s="4"/>
      <c r="IWI9" s="4"/>
      <c r="IWJ9" s="4"/>
      <c r="IWK9" s="4"/>
      <c r="IWL9" s="4"/>
      <c r="IWM9" s="4"/>
      <c r="IWN9" s="4"/>
      <c r="IWO9" s="4"/>
      <c r="IWP9" s="4"/>
      <c r="IWQ9" s="4"/>
      <c r="IWR9" s="4"/>
      <c r="IWS9" s="4"/>
      <c r="IWT9" s="4"/>
      <c r="IWU9" s="4"/>
      <c r="IWV9" s="4"/>
      <c r="IWW9" s="4"/>
      <c r="IWX9" s="4"/>
      <c r="IWY9" s="4"/>
      <c r="IWZ9" s="4"/>
      <c r="IXA9" s="4"/>
      <c r="IXB9" s="4"/>
      <c r="IXC9" s="4"/>
      <c r="IXD9" s="4"/>
      <c r="IXE9" s="4"/>
      <c r="IXF9" s="4"/>
      <c r="IXG9" s="4"/>
      <c r="IXH9" s="4"/>
      <c r="IXI9" s="4"/>
      <c r="IXJ9" s="4"/>
      <c r="IXK9" s="4"/>
      <c r="IXL9" s="4"/>
      <c r="IXM9" s="4"/>
      <c r="IXN9" s="4"/>
      <c r="IXO9" s="4"/>
      <c r="IXP9" s="4"/>
      <c r="IXQ9" s="4"/>
      <c r="IXR9" s="4"/>
      <c r="IXS9" s="4"/>
      <c r="IXT9" s="4"/>
      <c r="IXU9" s="4"/>
      <c r="IXV9" s="4"/>
      <c r="IXW9" s="4"/>
      <c r="IXX9" s="4"/>
      <c r="IXY9" s="4"/>
      <c r="IXZ9" s="4"/>
      <c r="IYA9" s="4"/>
      <c r="IYB9" s="4"/>
      <c r="IYC9" s="4"/>
      <c r="IYD9" s="4"/>
      <c r="IYE9" s="4"/>
      <c r="IYF9" s="4"/>
      <c r="IYG9" s="4"/>
      <c r="IYH9" s="4"/>
      <c r="IYI9" s="4"/>
      <c r="IYJ9" s="4"/>
      <c r="IYK9" s="4"/>
      <c r="IYL9" s="4"/>
      <c r="IYM9" s="4"/>
      <c r="IYN9" s="4"/>
      <c r="IYO9" s="4"/>
      <c r="IYP9" s="4"/>
      <c r="IYQ9" s="4"/>
      <c r="IYR9" s="4"/>
      <c r="IYS9" s="4"/>
      <c r="IYT9" s="4"/>
      <c r="IYU9" s="4"/>
      <c r="IYV9" s="4"/>
      <c r="IYW9" s="4"/>
      <c r="IYX9" s="4"/>
      <c r="IYY9" s="4"/>
      <c r="IYZ9" s="4"/>
      <c r="IZA9" s="4"/>
      <c r="IZB9" s="4"/>
      <c r="IZC9" s="4"/>
      <c r="IZD9" s="4"/>
      <c r="IZE9" s="4"/>
      <c r="IZF9" s="4"/>
      <c r="IZG9" s="4"/>
      <c r="IZH9" s="4"/>
      <c r="IZI9" s="4"/>
      <c r="IZJ9" s="4"/>
      <c r="IZK9" s="4"/>
      <c r="IZL9" s="4"/>
      <c r="IZM9" s="4"/>
      <c r="IZN9" s="4"/>
      <c r="IZO9" s="4"/>
      <c r="IZP9" s="4"/>
      <c r="IZQ9" s="4"/>
      <c r="IZR9" s="4"/>
      <c r="IZS9" s="4"/>
      <c r="IZT9" s="4"/>
      <c r="IZU9" s="4"/>
      <c r="IZV9" s="4"/>
      <c r="IZW9" s="4"/>
      <c r="IZX9" s="4"/>
      <c r="IZY9" s="4"/>
      <c r="IZZ9" s="4"/>
      <c r="JAA9" s="4"/>
      <c r="JAB9" s="4"/>
      <c r="JAC9" s="4"/>
      <c r="JAD9" s="4"/>
      <c r="JAE9" s="4"/>
      <c r="JAF9" s="4"/>
      <c r="JAG9" s="4"/>
      <c r="JAH9" s="4"/>
      <c r="JAI9" s="4"/>
      <c r="JAJ9" s="4"/>
      <c r="JAK9" s="4"/>
      <c r="JAL9" s="4"/>
      <c r="JAM9" s="4"/>
      <c r="JAN9" s="4"/>
      <c r="JAO9" s="4"/>
      <c r="JAP9" s="4"/>
      <c r="JAQ9" s="4"/>
      <c r="JAR9" s="4"/>
      <c r="JAS9" s="4"/>
      <c r="JAT9" s="4"/>
      <c r="JAU9" s="4"/>
      <c r="JAV9" s="4"/>
      <c r="JAW9" s="4"/>
      <c r="JAX9" s="4"/>
      <c r="JAY9" s="4"/>
      <c r="JAZ9" s="4"/>
      <c r="JBA9" s="4"/>
      <c r="JBB9" s="4"/>
      <c r="JBC9" s="4"/>
      <c r="JBD9" s="4"/>
      <c r="JBE9" s="4"/>
      <c r="JBF9" s="4"/>
      <c r="JBG9" s="4"/>
      <c r="JBH9" s="4"/>
      <c r="JBI9" s="4"/>
      <c r="JBJ9" s="4"/>
      <c r="JBK9" s="4"/>
      <c r="JBL9" s="4"/>
      <c r="JBM9" s="4"/>
      <c r="JBN9" s="4"/>
      <c r="JBO9" s="4"/>
      <c r="JBP9" s="4"/>
      <c r="JBQ9" s="4"/>
      <c r="JBR9" s="4"/>
      <c r="JBS9" s="4"/>
      <c r="JBT9" s="4"/>
      <c r="JBU9" s="4"/>
      <c r="JBV9" s="4"/>
      <c r="JBW9" s="4"/>
      <c r="JBX9" s="4"/>
      <c r="JBY9" s="4"/>
      <c r="JBZ9" s="4"/>
      <c r="JCA9" s="4"/>
      <c r="JCB9" s="4"/>
      <c r="JCC9" s="4"/>
      <c r="JCD9" s="4"/>
      <c r="JCE9" s="4"/>
      <c r="JCF9" s="4"/>
      <c r="JCG9" s="4"/>
      <c r="JCH9" s="4"/>
      <c r="JCI9" s="4"/>
      <c r="JCJ9" s="4"/>
      <c r="JCK9" s="4"/>
      <c r="JCL9" s="4"/>
      <c r="JCM9" s="4"/>
      <c r="JCN9" s="4"/>
      <c r="JCO9" s="4"/>
      <c r="JCP9" s="4"/>
      <c r="JCQ9" s="4"/>
      <c r="JCR9" s="4"/>
      <c r="JCS9" s="4"/>
      <c r="JCT9" s="4"/>
      <c r="JCU9" s="4"/>
      <c r="JCV9" s="4"/>
      <c r="JCW9" s="4"/>
      <c r="JCX9" s="4"/>
      <c r="JCY9" s="4"/>
      <c r="JCZ9" s="4"/>
      <c r="JDA9" s="4"/>
      <c r="JDB9" s="4"/>
      <c r="JDC9" s="4"/>
      <c r="JDD9" s="4"/>
      <c r="JDE9" s="4"/>
      <c r="JDF9" s="4"/>
      <c r="JDG9" s="4"/>
      <c r="JDH9" s="4"/>
      <c r="JDI9" s="4"/>
      <c r="JDJ9" s="4"/>
      <c r="JDK9" s="4"/>
      <c r="JDL9" s="4"/>
      <c r="JDM9" s="4"/>
      <c r="JDN9" s="4"/>
      <c r="JDO9" s="4"/>
      <c r="JDP9" s="4"/>
      <c r="JDQ9" s="4"/>
      <c r="JDR9" s="4"/>
      <c r="JDS9" s="4"/>
      <c r="JDT9" s="4"/>
      <c r="JDU9" s="4"/>
      <c r="JDV9" s="4"/>
      <c r="JDW9" s="4"/>
      <c r="JDX9" s="4"/>
      <c r="JDY9" s="4"/>
      <c r="JDZ9" s="4"/>
      <c r="JEA9" s="4"/>
      <c r="JEB9" s="4"/>
      <c r="JEC9" s="4"/>
      <c r="JED9" s="4"/>
      <c r="JEE9" s="4"/>
      <c r="JEF9" s="4"/>
      <c r="JEG9" s="4"/>
      <c r="JEH9" s="4"/>
      <c r="JEI9" s="4"/>
      <c r="JEJ9" s="4"/>
      <c r="JEK9" s="4"/>
      <c r="JEL9" s="4"/>
      <c r="JEM9" s="4"/>
      <c r="JEN9" s="4"/>
      <c r="JEO9" s="4"/>
      <c r="JEP9" s="4"/>
      <c r="JEQ9" s="4"/>
      <c r="JER9" s="4"/>
      <c r="JES9" s="4"/>
      <c r="JET9" s="4"/>
      <c r="JEU9" s="4"/>
      <c r="JEV9" s="4"/>
      <c r="JEW9" s="4"/>
      <c r="JEX9" s="4"/>
      <c r="JEY9" s="4"/>
      <c r="JEZ9" s="4"/>
      <c r="JFA9" s="4"/>
      <c r="JFB9" s="4"/>
      <c r="JFC9" s="4"/>
      <c r="JFD9" s="4"/>
      <c r="JFE9" s="4"/>
      <c r="JFF9" s="4"/>
      <c r="JFG9" s="4"/>
      <c r="JFH9" s="4"/>
      <c r="JFI9" s="4"/>
      <c r="JFJ9" s="4"/>
      <c r="JFK9" s="4"/>
      <c r="JFL9" s="4"/>
      <c r="JFM9" s="4"/>
      <c r="JFN9" s="4"/>
      <c r="JFO9" s="4"/>
      <c r="JFP9" s="4"/>
      <c r="JFQ9" s="4"/>
      <c r="JFR9" s="4"/>
      <c r="JFS9" s="4"/>
      <c r="JFT9" s="4"/>
      <c r="JFU9" s="4"/>
      <c r="JFV9" s="4"/>
      <c r="JFW9" s="4"/>
      <c r="JFX9" s="4"/>
      <c r="JFY9" s="4"/>
      <c r="JFZ9" s="4"/>
      <c r="JGA9" s="4"/>
      <c r="JGB9" s="4"/>
      <c r="JGC9" s="4"/>
      <c r="JGD9" s="4"/>
      <c r="JGE9" s="4"/>
      <c r="JGF9" s="4"/>
      <c r="JGG9" s="4"/>
      <c r="JGH9" s="4"/>
      <c r="JGI9" s="4"/>
      <c r="JGJ9" s="4"/>
      <c r="JGK9" s="4"/>
      <c r="JGL9" s="4"/>
      <c r="JGM9" s="4"/>
      <c r="JGN9" s="4"/>
      <c r="JGO9" s="4"/>
      <c r="JGP9" s="4"/>
      <c r="JGQ9" s="4"/>
      <c r="JGR9" s="4"/>
      <c r="JGS9" s="4"/>
      <c r="JGT9" s="4"/>
      <c r="JGU9" s="4"/>
      <c r="JGV9" s="4"/>
      <c r="JGW9" s="4"/>
      <c r="JGX9" s="4"/>
      <c r="JGY9" s="4"/>
      <c r="JGZ9" s="4"/>
      <c r="JHA9" s="4"/>
      <c r="JHB9" s="4"/>
      <c r="JHC9" s="4"/>
      <c r="JHD9" s="4"/>
      <c r="JHE9" s="4"/>
      <c r="JHF9" s="4"/>
      <c r="JHG9" s="4"/>
      <c r="JHH9" s="4"/>
      <c r="JHI9" s="4"/>
      <c r="JHJ9" s="4"/>
      <c r="JHK9" s="4"/>
      <c r="JHL9" s="4"/>
      <c r="JHM9" s="4"/>
      <c r="JHN9" s="4"/>
      <c r="JHO9" s="4"/>
      <c r="JHP9" s="4"/>
      <c r="JHQ9" s="4"/>
      <c r="JHR9" s="4"/>
      <c r="JHS9" s="4"/>
      <c r="JHT9" s="4"/>
      <c r="JHU9" s="4"/>
      <c r="JHV9" s="4"/>
      <c r="JHW9" s="4"/>
      <c r="JHX9" s="4"/>
      <c r="JHY9" s="4"/>
      <c r="JHZ9" s="4"/>
      <c r="JIA9" s="4"/>
      <c r="JIB9" s="4"/>
      <c r="JIC9" s="4"/>
      <c r="JID9" s="4"/>
      <c r="JIE9" s="4"/>
      <c r="JIF9" s="4"/>
      <c r="JIG9" s="4"/>
      <c r="JIH9" s="4"/>
      <c r="JII9" s="4"/>
      <c r="JIJ9" s="4"/>
      <c r="JIK9" s="4"/>
      <c r="JIL9" s="4"/>
      <c r="JIM9" s="4"/>
      <c r="JIN9" s="4"/>
      <c r="JIO9" s="4"/>
      <c r="JIP9" s="4"/>
      <c r="JIQ9" s="4"/>
      <c r="JIR9" s="4"/>
      <c r="JIS9" s="4"/>
      <c r="JIT9" s="4"/>
      <c r="JIU9" s="4"/>
      <c r="JIV9" s="4"/>
      <c r="JIW9" s="4"/>
      <c r="JIX9" s="4"/>
      <c r="JIY9" s="4"/>
      <c r="JIZ9" s="4"/>
      <c r="JJA9" s="4"/>
      <c r="JJB9" s="4"/>
      <c r="JJC9" s="4"/>
      <c r="JJD9" s="4"/>
      <c r="JJE9" s="4"/>
      <c r="JJF9" s="4"/>
      <c r="JJG9" s="4"/>
      <c r="JJH9" s="4"/>
      <c r="JJI9" s="4"/>
      <c r="JJJ9" s="4"/>
      <c r="JJK9" s="4"/>
      <c r="JJL9" s="4"/>
      <c r="JJM9" s="4"/>
      <c r="JJN9" s="4"/>
      <c r="JJO9" s="4"/>
      <c r="JJP9" s="4"/>
      <c r="JJQ9" s="4"/>
      <c r="JJR9" s="4"/>
      <c r="JJS9" s="4"/>
      <c r="JJT9" s="4"/>
      <c r="JJU9" s="4"/>
      <c r="JJV9" s="4"/>
      <c r="JJW9" s="4"/>
      <c r="JJX9" s="4"/>
      <c r="JJY9" s="4"/>
      <c r="JJZ9" s="4"/>
      <c r="JKA9" s="4"/>
      <c r="JKB9" s="4"/>
      <c r="JKC9" s="4"/>
      <c r="JKD9" s="4"/>
      <c r="JKE9" s="4"/>
      <c r="JKF9" s="4"/>
      <c r="JKG9" s="4"/>
      <c r="JKH9" s="4"/>
      <c r="JKI9" s="4"/>
      <c r="JKJ9" s="4"/>
      <c r="JKK9" s="4"/>
      <c r="JKL9" s="4"/>
      <c r="JKM9" s="4"/>
      <c r="JKN9" s="4"/>
      <c r="JKO9" s="4"/>
      <c r="JKP9" s="4"/>
      <c r="JKQ9" s="4"/>
      <c r="JKR9" s="4"/>
      <c r="JKS9" s="4"/>
      <c r="JKT9" s="4"/>
      <c r="JKU9" s="4"/>
      <c r="JKV9" s="4"/>
      <c r="JKW9" s="4"/>
      <c r="JKX9" s="4"/>
      <c r="JKY9" s="4"/>
      <c r="JKZ9" s="4"/>
      <c r="JLA9" s="4"/>
      <c r="JLB9" s="4"/>
      <c r="JLC9" s="4"/>
      <c r="JLD9" s="4"/>
      <c r="JLE9" s="4"/>
      <c r="JLF9" s="4"/>
      <c r="JLG9" s="4"/>
      <c r="JLH9" s="4"/>
      <c r="JLI9" s="4"/>
      <c r="JLJ9" s="4"/>
      <c r="JLK9" s="4"/>
      <c r="JLL9" s="4"/>
      <c r="JLM9" s="4"/>
      <c r="JLN9" s="4"/>
      <c r="JLO9" s="4"/>
      <c r="JLP9" s="4"/>
      <c r="JLQ9" s="4"/>
      <c r="JLR9" s="4"/>
      <c r="JLS9" s="4"/>
      <c r="JLT9" s="4"/>
      <c r="JLU9" s="4"/>
      <c r="JLV9" s="4"/>
      <c r="JLW9" s="4"/>
      <c r="JLX9" s="4"/>
      <c r="JLY9" s="4"/>
      <c r="JLZ9" s="4"/>
      <c r="JMA9" s="4"/>
      <c r="JMB9" s="4"/>
      <c r="JMC9" s="4"/>
      <c r="JMD9" s="4"/>
      <c r="JME9" s="4"/>
      <c r="JMF9" s="4"/>
      <c r="JMG9" s="4"/>
      <c r="JMH9" s="4"/>
      <c r="JMI9" s="4"/>
      <c r="JMJ9" s="4"/>
      <c r="JMK9" s="4"/>
      <c r="JML9" s="4"/>
      <c r="JMM9" s="4"/>
      <c r="JMN9" s="4"/>
      <c r="JMO9" s="4"/>
      <c r="JMP9" s="4"/>
      <c r="JMQ9" s="4"/>
      <c r="JMR9" s="4"/>
      <c r="JMS9" s="4"/>
      <c r="JMT9" s="4"/>
      <c r="JMU9" s="4"/>
      <c r="JMV9" s="4"/>
      <c r="JMW9" s="4"/>
      <c r="JMX9" s="4"/>
      <c r="JMY9" s="4"/>
      <c r="JMZ9" s="4"/>
      <c r="JNA9" s="4"/>
      <c r="JNB9" s="4"/>
      <c r="JNC9" s="4"/>
      <c r="JND9" s="4"/>
      <c r="JNE9" s="4"/>
      <c r="JNF9" s="4"/>
      <c r="JNG9" s="4"/>
      <c r="JNH9" s="4"/>
      <c r="JNI9" s="4"/>
      <c r="JNJ9" s="4"/>
      <c r="JNK9" s="4"/>
      <c r="JNL9" s="4"/>
      <c r="JNM9" s="4"/>
      <c r="JNN9" s="4"/>
      <c r="JNO9" s="4"/>
      <c r="JNP9" s="4"/>
      <c r="JNQ9" s="4"/>
      <c r="JNR9" s="4"/>
      <c r="JNS9" s="4"/>
      <c r="JNT9" s="4"/>
      <c r="JNU9" s="4"/>
      <c r="JNV9" s="4"/>
      <c r="JNW9" s="4"/>
      <c r="JNX9" s="4"/>
      <c r="JNY9" s="4"/>
      <c r="JNZ9" s="4"/>
      <c r="JOA9" s="4"/>
      <c r="JOB9" s="4"/>
      <c r="JOC9" s="4"/>
      <c r="JOD9" s="4"/>
      <c r="JOE9" s="4"/>
      <c r="JOF9" s="4"/>
      <c r="JOG9" s="4"/>
      <c r="JOH9" s="4"/>
      <c r="JOI9" s="4"/>
      <c r="JOJ9" s="4"/>
      <c r="JOK9" s="4"/>
      <c r="JOL9" s="4"/>
      <c r="JOM9" s="4"/>
      <c r="JON9" s="4"/>
      <c r="JOO9" s="4"/>
      <c r="JOP9" s="4"/>
      <c r="JOQ9" s="4"/>
      <c r="JOR9" s="4"/>
      <c r="JOS9" s="4"/>
      <c r="JOT9" s="4"/>
      <c r="JOU9" s="4"/>
      <c r="JOV9" s="4"/>
      <c r="JOW9" s="4"/>
      <c r="JOX9" s="4"/>
      <c r="JOY9" s="4"/>
      <c r="JOZ9" s="4"/>
      <c r="JPA9" s="4"/>
      <c r="JPB9" s="4"/>
      <c r="JPC9" s="4"/>
      <c r="JPD9" s="4"/>
      <c r="JPE9" s="4"/>
      <c r="JPF9" s="4"/>
      <c r="JPG9" s="4"/>
      <c r="JPH9" s="4"/>
      <c r="JPI9" s="4"/>
      <c r="JPJ9" s="4"/>
      <c r="JPK9" s="4"/>
      <c r="JPL9" s="4"/>
      <c r="JPM9" s="4"/>
      <c r="JPN9" s="4"/>
      <c r="JPO9" s="4"/>
      <c r="JPP9" s="4"/>
      <c r="JPQ9" s="4"/>
      <c r="JPR9" s="4"/>
      <c r="JPS9" s="4"/>
      <c r="JPT9" s="4"/>
      <c r="JPU9" s="4"/>
      <c r="JPV9" s="4"/>
      <c r="JPW9" s="4"/>
      <c r="JPX9" s="4"/>
      <c r="JPY9" s="4"/>
      <c r="JPZ9" s="4"/>
      <c r="JQA9" s="4"/>
      <c r="JQB9" s="4"/>
      <c r="JQC9" s="4"/>
      <c r="JQD9" s="4"/>
      <c r="JQE9" s="4"/>
      <c r="JQF9" s="4"/>
      <c r="JQG9" s="4"/>
      <c r="JQH9" s="4"/>
      <c r="JQI9" s="4"/>
      <c r="JQJ9" s="4"/>
      <c r="JQK9" s="4"/>
      <c r="JQL9" s="4"/>
      <c r="JQM9" s="4"/>
      <c r="JQN9" s="4"/>
      <c r="JQO9" s="4"/>
      <c r="JQP9" s="4"/>
      <c r="JQQ9" s="4"/>
      <c r="JQR9" s="4"/>
      <c r="JQS9" s="4"/>
      <c r="JQT9" s="4"/>
      <c r="JQU9" s="4"/>
      <c r="JQV9" s="4"/>
      <c r="JQW9" s="4"/>
      <c r="JQX9" s="4"/>
      <c r="JQY9" s="4"/>
      <c r="JQZ9" s="4"/>
      <c r="JRA9" s="4"/>
      <c r="JRB9" s="4"/>
      <c r="JRC9" s="4"/>
      <c r="JRD9" s="4"/>
      <c r="JRE9" s="4"/>
      <c r="JRF9" s="4"/>
      <c r="JRG9" s="4"/>
      <c r="JRH9" s="4"/>
      <c r="JRI9" s="4"/>
      <c r="JRJ9" s="4"/>
      <c r="JRK9" s="4"/>
      <c r="JRL9" s="4"/>
      <c r="JRM9" s="4"/>
      <c r="JRN9" s="4"/>
      <c r="JRO9" s="4"/>
      <c r="JRP9" s="4"/>
      <c r="JRQ9" s="4"/>
      <c r="JRR9" s="4"/>
      <c r="JRS9" s="4"/>
      <c r="JRT9" s="4"/>
      <c r="JRU9" s="4"/>
      <c r="JRV9" s="4"/>
      <c r="JRW9" s="4"/>
      <c r="JRX9" s="4"/>
      <c r="JRY9" s="4"/>
      <c r="JRZ9" s="4"/>
      <c r="JSA9" s="4"/>
      <c r="JSB9" s="4"/>
      <c r="JSC9" s="4"/>
      <c r="JSD9" s="4"/>
      <c r="JSE9" s="4"/>
      <c r="JSF9" s="4"/>
      <c r="JSG9" s="4"/>
      <c r="JSH9" s="4"/>
      <c r="JSI9" s="4"/>
      <c r="JSJ9" s="4"/>
      <c r="JSK9" s="4"/>
      <c r="JSL9" s="4"/>
      <c r="JSM9" s="4"/>
      <c r="JSN9" s="4"/>
      <c r="JSO9" s="4"/>
      <c r="JSP9" s="4"/>
      <c r="JSQ9" s="4"/>
      <c r="JSR9" s="4"/>
      <c r="JSS9" s="4"/>
      <c r="JST9" s="4"/>
      <c r="JSU9" s="4"/>
      <c r="JSV9" s="4"/>
      <c r="JSW9" s="4"/>
      <c r="JSX9" s="4"/>
      <c r="JSY9" s="4"/>
      <c r="JSZ9" s="4"/>
      <c r="JTA9" s="4"/>
      <c r="JTB9" s="4"/>
      <c r="JTC9" s="4"/>
      <c r="JTD9" s="4"/>
      <c r="JTE9" s="4"/>
      <c r="JTF9" s="4"/>
      <c r="JTG9" s="4"/>
      <c r="JTH9" s="4"/>
      <c r="JTI9" s="4"/>
      <c r="JTJ9" s="4"/>
      <c r="JTK9" s="4"/>
      <c r="JTL9" s="4"/>
      <c r="JTM9" s="4"/>
      <c r="JTN9" s="4"/>
      <c r="JTO9" s="4"/>
      <c r="JTP9" s="4"/>
      <c r="JTQ9" s="4"/>
      <c r="JTR9" s="4"/>
      <c r="JTS9" s="4"/>
      <c r="JTT9" s="4"/>
      <c r="JTU9" s="4"/>
      <c r="JTV9" s="4"/>
      <c r="JTW9" s="4"/>
      <c r="JTX9" s="4"/>
      <c r="JTY9" s="4"/>
      <c r="JTZ9" s="4"/>
      <c r="JUA9" s="4"/>
      <c r="JUB9" s="4"/>
      <c r="JUC9" s="4"/>
      <c r="JUD9" s="4"/>
      <c r="JUE9" s="4"/>
      <c r="JUF9" s="4"/>
      <c r="JUG9" s="4"/>
      <c r="JUH9" s="4"/>
      <c r="JUI9" s="4"/>
      <c r="JUJ9" s="4"/>
      <c r="JUK9" s="4"/>
      <c r="JUL9" s="4"/>
      <c r="JUM9" s="4"/>
      <c r="JUN9" s="4"/>
      <c r="JUO9" s="4"/>
      <c r="JUP9" s="4"/>
      <c r="JUQ9" s="4"/>
      <c r="JUR9" s="4"/>
      <c r="JUS9" s="4"/>
      <c r="JUT9" s="4"/>
      <c r="JUU9" s="4"/>
      <c r="JUV9" s="4"/>
      <c r="JUW9" s="4"/>
      <c r="JUX9" s="4"/>
      <c r="JUY9" s="4"/>
      <c r="JUZ9" s="4"/>
      <c r="JVA9" s="4"/>
      <c r="JVB9" s="4"/>
      <c r="JVC9" s="4"/>
      <c r="JVD9" s="4"/>
      <c r="JVE9" s="4"/>
      <c r="JVF9" s="4"/>
      <c r="JVG9" s="4"/>
      <c r="JVH9" s="4"/>
      <c r="JVI9" s="4"/>
      <c r="JVJ9" s="4"/>
      <c r="JVK9" s="4"/>
      <c r="JVL9" s="4"/>
      <c r="JVM9" s="4"/>
      <c r="JVN9" s="4"/>
      <c r="JVO9" s="4"/>
      <c r="JVP9" s="4"/>
      <c r="JVQ9" s="4"/>
      <c r="JVR9" s="4"/>
      <c r="JVS9" s="4"/>
      <c r="JVT9" s="4"/>
      <c r="JVU9" s="4"/>
      <c r="JVV9" s="4"/>
      <c r="JVW9" s="4"/>
      <c r="JVX9" s="4"/>
      <c r="JVY9" s="4"/>
      <c r="JVZ9" s="4"/>
      <c r="JWA9" s="4"/>
      <c r="JWB9" s="4"/>
      <c r="JWC9" s="4"/>
      <c r="JWD9" s="4"/>
      <c r="JWE9" s="4"/>
      <c r="JWF9" s="4"/>
      <c r="JWG9" s="4"/>
      <c r="JWH9" s="4"/>
      <c r="JWI9" s="4"/>
      <c r="JWJ9" s="4"/>
      <c r="JWK9" s="4"/>
      <c r="JWL9" s="4"/>
      <c r="JWM9" s="4"/>
      <c r="JWN9" s="4"/>
      <c r="JWO9" s="4"/>
      <c r="JWP9" s="4"/>
      <c r="JWQ9" s="4"/>
      <c r="JWR9" s="4"/>
      <c r="JWS9" s="4"/>
      <c r="JWT9" s="4"/>
      <c r="JWU9" s="4"/>
      <c r="JWV9" s="4"/>
      <c r="JWW9" s="4"/>
      <c r="JWX9" s="4"/>
      <c r="JWY9" s="4"/>
      <c r="JWZ9" s="4"/>
      <c r="JXA9" s="4"/>
      <c r="JXB9" s="4"/>
      <c r="JXC9" s="4"/>
      <c r="JXD9" s="4"/>
      <c r="JXE9" s="4"/>
      <c r="JXF9" s="4"/>
      <c r="JXG9" s="4"/>
      <c r="JXH9" s="4"/>
      <c r="JXI9" s="4"/>
      <c r="JXJ9" s="4"/>
      <c r="JXK9" s="4"/>
      <c r="JXL9" s="4"/>
      <c r="JXM9" s="4"/>
      <c r="JXN9" s="4"/>
      <c r="JXO9" s="4"/>
      <c r="JXP9" s="4"/>
      <c r="JXQ9" s="4"/>
      <c r="JXR9" s="4"/>
      <c r="JXS9" s="4"/>
      <c r="JXT9" s="4"/>
      <c r="JXU9" s="4"/>
      <c r="JXV9" s="4"/>
      <c r="JXW9" s="4"/>
      <c r="JXX9" s="4"/>
      <c r="JXY9" s="4"/>
      <c r="JXZ9" s="4"/>
      <c r="JYA9" s="4"/>
      <c r="JYB9" s="4"/>
      <c r="JYC9" s="4"/>
      <c r="JYD9" s="4"/>
      <c r="JYE9" s="4"/>
      <c r="JYF9" s="4"/>
      <c r="JYG9" s="4"/>
      <c r="JYH9" s="4"/>
      <c r="JYI9" s="4"/>
      <c r="JYJ9" s="4"/>
      <c r="JYK9" s="4"/>
      <c r="JYL9" s="4"/>
      <c r="JYM9" s="4"/>
      <c r="JYN9" s="4"/>
      <c r="JYO9" s="4"/>
      <c r="JYP9" s="4"/>
      <c r="JYQ9" s="4"/>
      <c r="JYR9" s="4"/>
      <c r="JYS9" s="4"/>
      <c r="JYT9" s="4"/>
      <c r="JYU9" s="4"/>
      <c r="JYV9" s="4"/>
      <c r="JYW9" s="4"/>
      <c r="JYX9" s="4"/>
      <c r="JYY9" s="4"/>
      <c r="JYZ9" s="4"/>
      <c r="JZA9" s="4"/>
      <c r="JZB9" s="4"/>
      <c r="JZC9" s="4"/>
      <c r="JZD9" s="4"/>
      <c r="JZE9" s="4"/>
      <c r="JZF9" s="4"/>
      <c r="JZG9" s="4"/>
      <c r="JZH9" s="4"/>
      <c r="JZI9" s="4"/>
      <c r="JZJ9" s="4"/>
      <c r="JZK9" s="4"/>
      <c r="JZL9" s="4"/>
      <c r="JZM9" s="4"/>
      <c r="JZN9" s="4"/>
      <c r="JZO9" s="4"/>
      <c r="JZP9" s="4"/>
      <c r="JZQ9" s="4"/>
      <c r="JZR9" s="4"/>
      <c r="JZS9" s="4"/>
      <c r="JZT9" s="4"/>
      <c r="JZU9" s="4"/>
      <c r="JZV9" s="4"/>
      <c r="JZW9" s="4"/>
      <c r="JZX9" s="4"/>
      <c r="JZY9" s="4"/>
      <c r="JZZ9" s="4"/>
      <c r="KAA9" s="4"/>
      <c r="KAB9" s="4"/>
      <c r="KAC9" s="4"/>
      <c r="KAD9" s="4"/>
      <c r="KAE9" s="4"/>
      <c r="KAF9" s="4"/>
      <c r="KAG9" s="4"/>
      <c r="KAH9" s="4"/>
      <c r="KAI9" s="4"/>
      <c r="KAJ9" s="4"/>
      <c r="KAK9" s="4"/>
      <c r="KAL9" s="4"/>
      <c r="KAM9" s="4"/>
      <c r="KAN9" s="4"/>
      <c r="KAO9" s="4"/>
      <c r="KAP9" s="4"/>
      <c r="KAQ9" s="4"/>
      <c r="KAR9" s="4"/>
      <c r="KAS9" s="4"/>
      <c r="KAT9" s="4"/>
      <c r="KAU9" s="4"/>
      <c r="KAV9" s="4"/>
      <c r="KAW9" s="4"/>
      <c r="KAX9" s="4"/>
      <c r="KAY9" s="4"/>
      <c r="KAZ9" s="4"/>
      <c r="KBA9" s="4"/>
      <c r="KBB9" s="4"/>
      <c r="KBC9" s="4"/>
      <c r="KBD9" s="4"/>
      <c r="KBE9" s="4"/>
      <c r="KBF9" s="4"/>
      <c r="KBG9" s="4"/>
      <c r="KBH9" s="4"/>
      <c r="KBI9" s="4"/>
      <c r="KBJ9" s="4"/>
      <c r="KBK9" s="4"/>
      <c r="KBL9" s="4"/>
      <c r="KBM9" s="4"/>
      <c r="KBN9" s="4"/>
      <c r="KBO9" s="4"/>
      <c r="KBP9" s="4"/>
      <c r="KBQ9" s="4"/>
      <c r="KBR9" s="4"/>
      <c r="KBS9" s="4"/>
      <c r="KBT9" s="4"/>
      <c r="KBU9" s="4"/>
      <c r="KBV9" s="4"/>
      <c r="KBW9" s="4"/>
      <c r="KBX9" s="4"/>
      <c r="KBY9" s="4"/>
      <c r="KBZ9" s="4"/>
      <c r="KCA9" s="4"/>
      <c r="KCB9" s="4"/>
      <c r="KCC9" s="4"/>
      <c r="KCD9" s="4"/>
      <c r="KCE9" s="4"/>
      <c r="KCF9" s="4"/>
      <c r="KCG9" s="4"/>
      <c r="KCH9" s="4"/>
      <c r="KCI9" s="4"/>
      <c r="KCJ9" s="4"/>
      <c r="KCK9" s="4"/>
      <c r="KCL9" s="4"/>
      <c r="KCM9" s="4"/>
      <c r="KCN9" s="4"/>
      <c r="KCO9" s="4"/>
      <c r="KCP9" s="4"/>
      <c r="KCQ9" s="4"/>
      <c r="KCR9" s="4"/>
      <c r="KCS9" s="4"/>
      <c r="KCT9" s="4"/>
      <c r="KCU9" s="4"/>
      <c r="KCV9" s="4"/>
      <c r="KCW9" s="4"/>
      <c r="KCX9" s="4"/>
      <c r="KCY9" s="4"/>
      <c r="KCZ9" s="4"/>
      <c r="KDA9" s="4"/>
      <c r="KDB9" s="4"/>
      <c r="KDC9" s="4"/>
      <c r="KDD9" s="4"/>
      <c r="KDE9" s="4"/>
      <c r="KDF9" s="4"/>
      <c r="KDG9" s="4"/>
      <c r="KDH9" s="4"/>
      <c r="KDI9" s="4"/>
      <c r="KDJ9" s="4"/>
      <c r="KDK9" s="4"/>
      <c r="KDL9" s="4"/>
      <c r="KDM9" s="4"/>
      <c r="KDN9" s="4"/>
      <c r="KDO9" s="4"/>
      <c r="KDP9" s="4"/>
      <c r="KDQ9" s="4"/>
      <c r="KDR9" s="4"/>
      <c r="KDS9" s="4"/>
      <c r="KDT9" s="4"/>
      <c r="KDU9" s="4"/>
      <c r="KDV9" s="4"/>
      <c r="KDW9" s="4"/>
      <c r="KDX9" s="4"/>
      <c r="KDY9" s="4"/>
      <c r="KDZ9" s="4"/>
      <c r="KEA9" s="4"/>
      <c r="KEB9" s="4"/>
      <c r="KEC9" s="4"/>
      <c r="KED9" s="4"/>
      <c r="KEE9" s="4"/>
      <c r="KEF9" s="4"/>
      <c r="KEG9" s="4"/>
      <c r="KEH9" s="4"/>
      <c r="KEI9" s="4"/>
      <c r="KEJ9" s="4"/>
      <c r="KEK9" s="4"/>
      <c r="KEL9" s="4"/>
      <c r="KEM9" s="4"/>
      <c r="KEN9" s="4"/>
      <c r="KEO9" s="4"/>
      <c r="KEP9" s="4"/>
      <c r="KEQ9" s="4"/>
      <c r="KER9" s="4"/>
      <c r="KES9" s="4"/>
      <c r="KET9" s="4"/>
      <c r="KEU9" s="4"/>
      <c r="KEV9" s="4"/>
      <c r="KEW9" s="4"/>
      <c r="KEX9" s="4"/>
      <c r="KEY9" s="4"/>
      <c r="KEZ9" s="4"/>
      <c r="KFA9" s="4"/>
      <c r="KFB9" s="4"/>
      <c r="KFC9" s="4"/>
      <c r="KFD9" s="4"/>
      <c r="KFE9" s="4"/>
      <c r="KFF9" s="4"/>
      <c r="KFG9" s="4"/>
      <c r="KFH9" s="4"/>
      <c r="KFI9" s="4"/>
      <c r="KFJ9" s="4"/>
      <c r="KFK9" s="4"/>
      <c r="KFL9" s="4"/>
      <c r="KFM9" s="4"/>
      <c r="KFN9" s="4"/>
      <c r="KFO9" s="4"/>
      <c r="KFP9" s="4"/>
      <c r="KFQ9" s="4"/>
      <c r="KFR9" s="4"/>
      <c r="KFS9" s="4"/>
      <c r="KFT9" s="4"/>
      <c r="KFU9" s="4"/>
      <c r="KFV9" s="4"/>
      <c r="KFW9" s="4"/>
      <c r="KFX9" s="4"/>
      <c r="KFY9" s="4"/>
      <c r="KFZ9" s="4"/>
      <c r="KGA9" s="4"/>
      <c r="KGB9" s="4"/>
      <c r="KGC9" s="4"/>
      <c r="KGD9" s="4"/>
      <c r="KGE9" s="4"/>
      <c r="KGF9" s="4"/>
      <c r="KGG9" s="4"/>
      <c r="KGH9" s="4"/>
      <c r="KGI9" s="4"/>
      <c r="KGJ9" s="4"/>
      <c r="KGK9" s="4"/>
      <c r="KGL9" s="4"/>
      <c r="KGM9" s="4"/>
      <c r="KGN9" s="4"/>
      <c r="KGO9" s="4"/>
      <c r="KGP9" s="4"/>
      <c r="KGQ9" s="4"/>
      <c r="KGR9" s="4"/>
      <c r="KGS9" s="4"/>
      <c r="KGT9" s="4"/>
      <c r="KGU9" s="4"/>
      <c r="KGV9" s="4"/>
      <c r="KGW9" s="4"/>
      <c r="KGX9" s="4"/>
      <c r="KGY9" s="4"/>
      <c r="KGZ9" s="4"/>
      <c r="KHA9" s="4"/>
      <c r="KHB9" s="4"/>
      <c r="KHC9" s="4"/>
      <c r="KHD9" s="4"/>
      <c r="KHE9" s="4"/>
      <c r="KHF9" s="4"/>
      <c r="KHG9" s="4"/>
      <c r="KHH9" s="4"/>
      <c r="KHI9" s="4"/>
      <c r="KHJ9" s="4"/>
      <c r="KHK9" s="4"/>
      <c r="KHL9" s="4"/>
      <c r="KHM9" s="4"/>
      <c r="KHN9" s="4"/>
      <c r="KHO9" s="4"/>
      <c r="KHP9" s="4"/>
      <c r="KHQ9" s="4"/>
      <c r="KHR9" s="4"/>
      <c r="KHS9" s="4"/>
      <c r="KHT9" s="4"/>
      <c r="KHU9" s="4"/>
      <c r="KHV9" s="4"/>
      <c r="KHW9" s="4"/>
      <c r="KHX9" s="4"/>
      <c r="KHY9" s="4"/>
      <c r="KHZ9" s="4"/>
      <c r="KIA9" s="4"/>
      <c r="KIB9" s="4"/>
      <c r="KIC9" s="4"/>
      <c r="KID9" s="4"/>
      <c r="KIE9" s="4"/>
      <c r="KIF9" s="4"/>
      <c r="KIG9" s="4"/>
      <c r="KIH9" s="4"/>
      <c r="KII9" s="4"/>
      <c r="KIJ9" s="4"/>
      <c r="KIK9" s="4"/>
      <c r="KIL9" s="4"/>
      <c r="KIM9" s="4"/>
      <c r="KIN9" s="4"/>
      <c r="KIO9" s="4"/>
      <c r="KIP9" s="4"/>
      <c r="KIQ9" s="4"/>
      <c r="KIR9" s="4"/>
      <c r="KIS9" s="4"/>
      <c r="KIT9" s="4"/>
      <c r="KIU9" s="4"/>
      <c r="KIV9" s="4"/>
      <c r="KIW9" s="4"/>
      <c r="KIX9" s="4"/>
      <c r="KIY9" s="4"/>
      <c r="KIZ9" s="4"/>
      <c r="KJA9" s="4"/>
      <c r="KJB9" s="4"/>
      <c r="KJC9" s="4"/>
      <c r="KJD9" s="4"/>
      <c r="KJE9" s="4"/>
      <c r="KJF9" s="4"/>
      <c r="KJG9" s="4"/>
      <c r="KJH9" s="4"/>
      <c r="KJI9" s="4"/>
      <c r="KJJ9" s="4"/>
      <c r="KJK9" s="4"/>
      <c r="KJL9" s="4"/>
      <c r="KJM9" s="4"/>
      <c r="KJN9" s="4"/>
      <c r="KJO9" s="4"/>
      <c r="KJP9" s="4"/>
      <c r="KJQ9" s="4"/>
      <c r="KJR9" s="4"/>
      <c r="KJS9" s="4"/>
      <c r="KJT9" s="4"/>
      <c r="KJU9" s="4"/>
      <c r="KJV9" s="4"/>
      <c r="KJW9" s="4"/>
      <c r="KJX9" s="4"/>
      <c r="KJY9" s="4"/>
      <c r="KJZ9" s="4"/>
      <c r="KKA9" s="4"/>
      <c r="KKB9" s="4"/>
      <c r="KKC9" s="4"/>
      <c r="KKD9" s="4"/>
      <c r="KKE9" s="4"/>
      <c r="KKF9" s="4"/>
      <c r="KKG9" s="4"/>
      <c r="KKH9" s="4"/>
      <c r="KKI9" s="4"/>
      <c r="KKJ9" s="4"/>
      <c r="KKK9" s="4"/>
      <c r="KKL9" s="4"/>
      <c r="KKM9" s="4"/>
      <c r="KKN9" s="4"/>
      <c r="KKO9" s="4"/>
      <c r="KKP9" s="4"/>
      <c r="KKQ9" s="4"/>
      <c r="KKR9" s="4"/>
      <c r="KKS9" s="4"/>
      <c r="KKT9" s="4"/>
      <c r="KKU9" s="4"/>
      <c r="KKV9" s="4"/>
      <c r="KKW9" s="4"/>
      <c r="KKX9" s="4"/>
      <c r="KKY9" s="4"/>
      <c r="KKZ9" s="4"/>
      <c r="KLA9" s="4"/>
      <c r="KLB9" s="4"/>
      <c r="KLC9" s="4"/>
      <c r="KLD9" s="4"/>
      <c r="KLE9" s="4"/>
      <c r="KLF9" s="4"/>
      <c r="KLG9" s="4"/>
      <c r="KLH9" s="4"/>
      <c r="KLI9" s="4"/>
      <c r="KLJ9" s="4"/>
      <c r="KLK9" s="4"/>
      <c r="KLL9" s="4"/>
      <c r="KLM9" s="4"/>
      <c r="KLN9" s="4"/>
      <c r="KLO9" s="4"/>
      <c r="KLP9" s="4"/>
      <c r="KLQ9" s="4"/>
      <c r="KLR9" s="4"/>
      <c r="KLS9" s="4"/>
      <c r="KLT9" s="4"/>
      <c r="KLU9" s="4"/>
      <c r="KLV9" s="4"/>
      <c r="KLW9" s="4"/>
      <c r="KLX9" s="4"/>
      <c r="KLY9" s="4"/>
      <c r="KLZ9" s="4"/>
      <c r="KMA9" s="4"/>
      <c r="KMB9" s="4"/>
      <c r="KMC9" s="4"/>
      <c r="KMD9" s="4"/>
      <c r="KME9" s="4"/>
      <c r="KMF9" s="4"/>
      <c r="KMG9" s="4"/>
      <c r="KMH9" s="4"/>
      <c r="KMI9" s="4"/>
      <c r="KMJ9" s="4"/>
      <c r="KMK9" s="4"/>
      <c r="KML9" s="4"/>
      <c r="KMM9" s="4"/>
      <c r="KMN9" s="4"/>
      <c r="KMO9" s="4"/>
      <c r="KMP9" s="4"/>
      <c r="KMQ9" s="4"/>
      <c r="KMR9" s="4"/>
      <c r="KMS9" s="4"/>
      <c r="KMT9" s="4"/>
      <c r="KMU9" s="4"/>
      <c r="KMV9" s="4"/>
      <c r="KMW9" s="4"/>
      <c r="KMX9" s="4"/>
      <c r="KMY9" s="4"/>
      <c r="KMZ9" s="4"/>
      <c r="KNA9" s="4"/>
      <c r="KNB9" s="4"/>
      <c r="KNC9" s="4"/>
      <c r="KND9" s="4"/>
      <c r="KNE9" s="4"/>
      <c r="KNF9" s="4"/>
      <c r="KNG9" s="4"/>
      <c r="KNH9" s="4"/>
      <c r="KNI9" s="4"/>
      <c r="KNJ9" s="4"/>
      <c r="KNK9" s="4"/>
      <c r="KNL9" s="4"/>
      <c r="KNM9" s="4"/>
      <c r="KNN9" s="4"/>
      <c r="KNO9" s="4"/>
      <c r="KNP9" s="4"/>
      <c r="KNQ9" s="4"/>
      <c r="KNR9" s="4"/>
      <c r="KNS9" s="4"/>
      <c r="KNT9" s="4"/>
      <c r="KNU9" s="4"/>
      <c r="KNV9" s="4"/>
      <c r="KNW9" s="4"/>
      <c r="KNX9" s="4"/>
      <c r="KNY9" s="4"/>
      <c r="KNZ9" s="4"/>
      <c r="KOA9" s="4"/>
      <c r="KOB9" s="4"/>
      <c r="KOC9" s="4"/>
      <c r="KOD9" s="4"/>
      <c r="KOE9" s="4"/>
      <c r="KOF9" s="4"/>
      <c r="KOG9" s="4"/>
      <c r="KOH9" s="4"/>
      <c r="KOI9" s="4"/>
      <c r="KOJ9" s="4"/>
      <c r="KOK9" s="4"/>
      <c r="KOL9" s="4"/>
      <c r="KOM9" s="4"/>
      <c r="KON9" s="4"/>
      <c r="KOO9" s="4"/>
      <c r="KOP9" s="4"/>
      <c r="KOQ9" s="4"/>
      <c r="KOR9" s="4"/>
      <c r="KOS9" s="4"/>
      <c r="KOT9" s="4"/>
      <c r="KOU9" s="4"/>
      <c r="KOV9" s="4"/>
      <c r="KOW9" s="4"/>
      <c r="KOX9" s="4"/>
      <c r="KOY9" s="4"/>
      <c r="KOZ9" s="4"/>
      <c r="KPA9" s="4"/>
      <c r="KPB9" s="4"/>
      <c r="KPC9" s="4"/>
      <c r="KPD9" s="4"/>
      <c r="KPE9" s="4"/>
      <c r="KPF9" s="4"/>
      <c r="KPG9" s="4"/>
      <c r="KPH9" s="4"/>
      <c r="KPI9" s="4"/>
      <c r="KPJ9" s="4"/>
      <c r="KPK9" s="4"/>
      <c r="KPL9" s="4"/>
      <c r="KPM9" s="4"/>
      <c r="KPN9" s="4"/>
      <c r="KPO9" s="4"/>
      <c r="KPP9" s="4"/>
      <c r="KPQ9" s="4"/>
      <c r="KPR9" s="4"/>
      <c r="KPS9" s="4"/>
      <c r="KPT9" s="4"/>
      <c r="KPU9" s="4"/>
      <c r="KPV9" s="4"/>
      <c r="KPW9" s="4"/>
      <c r="KPX9" s="4"/>
      <c r="KPY9" s="4"/>
      <c r="KPZ9" s="4"/>
      <c r="KQA9" s="4"/>
      <c r="KQB9" s="4"/>
      <c r="KQC9" s="4"/>
      <c r="KQD9" s="4"/>
      <c r="KQE9" s="4"/>
      <c r="KQF9" s="4"/>
      <c r="KQG9" s="4"/>
      <c r="KQH9" s="4"/>
      <c r="KQI9" s="4"/>
      <c r="KQJ9" s="4"/>
      <c r="KQK9" s="4"/>
      <c r="KQL9" s="4"/>
      <c r="KQM9" s="4"/>
      <c r="KQN9" s="4"/>
      <c r="KQO9" s="4"/>
      <c r="KQP9" s="4"/>
      <c r="KQQ9" s="4"/>
      <c r="KQR9" s="4"/>
      <c r="KQS9" s="4"/>
      <c r="KQT9" s="4"/>
      <c r="KQU9" s="4"/>
      <c r="KQV9" s="4"/>
      <c r="KQW9" s="4"/>
      <c r="KQX9" s="4"/>
      <c r="KQY9" s="4"/>
      <c r="KQZ9" s="4"/>
      <c r="KRA9" s="4"/>
      <c r="KRB9" s="4"/>
      <c r="KRC9" s="4"/>
      <c r="KRD9" s="4"/>
      <c r="KRE9" s="4"/>
      <c r="KRF9" s="4"/>
      <c r="KRG9" s="4"/>
      <c r="KRH9" s="4"/>
      <c r="KRI9" s="4"/>
      <c r="KRJ9" s="4"/>
      <c r="KRK9" s="4"/>
      <c r="KRL9" s="4"/>
      <c r="KRM9" s="4"/>
      <c r="KRN9" s="4"/>
      <c r="KRO9" s="4"/>
      <c r="KRP9" s="4"/>
      <c r="KRQ9" s="4"/>
      <c r="KRR9" s="4"/>
      <c r="KRS9" s="4"/>
      <c r="KRT9" s="4"/>
      <c r="KRU9" s="4"/>
      <c r="KRV9" s="4"/>
      <c r="KRW9" s="4"/>
      <c r="KRX9" s="4"/>
      <c r="KRY9" s="4"/>
      <c r="KRZ9" s="4"/>
      <c r="KSA9" s="4"/>
      <c r="KSB9" s="4"/>
      <c r="KSC9" s="4"/>
      <c r="KSD9" s="4"/>
      <c r="KSE9" s="4"/>
      <c r="KSF9" s="4"/>
      <c r="KSG9" s="4"/>
      <c r="KSH9" s="4"/>
      <c r="KSI9" s="4"/>
      <c r="KSJ9" s="4"/>
      <c r="KSK9" s="4"/>
      <c r="KSL9" s="4"/>
      <c r="KSM9" s="4"/>
      <c r="KSN9" s="4"/>
      <c r="KSO9" s="4"/>
      <c r="KSP9" s="4"/>
      <c r="KSQ9" s="4"/>
      <c r="KSR9" s="4"/>
      <c r="KSS9" s="4"/>
      <c r="KST9" s="4"/>
      <c r="KSU9" s="4"/>
      <c r="KSV9" s="4"/>
      <c r="KSW9" s="4"/>
      <c r="KSX9" s="4"/>
      <c r="KSY9" s="4"/>
      <c r="KSZ9" s="4"/>
      <c r="KTA9" s="4"/>
      <c r="KTB9" s="4"/>
      <c r="KTC9" s="4"/>
      <c r="KTD9" s="4"/>
      <c r="KTE9" s="4"/>
      <c r="KTF9" s="4"/>
      <c r="KTG9" s="4"/>
      <c r="KTH9" s="4"/>
      <c r="KTI9" s="4"/>
      <c r="KTJ9" s="4"/>
      <c r="KTK9" s="4"/>
      <c r="KTL9" s="4"/>
      <c r="KTM9" s="4"/>
      <c r="KTN9" s="4"/>
      <c r="KTO9" s="4"/>
      <c r="KTP9" s="4"/>
      <c r="KTQ9" s="4"/>
      <c r="KTR9" s="4"/>
      <c r="KTS9" s="4"/>
      <c r="KTT9" s="4"/>
      <c r="KTU9" s="4"/>
      <c r="KTV9" s="4"/>
      <c r="KTW9" s="4"/>
      <c r="KTX9" s="4"/>
      <c r="KTY9" s="4"/>
      <c r="KTZ9" s="4"/>
      <c r="KUA9" s="4"/>
      <c r="KUB9" s="4"/>
      <c r="KUC9" s="4"/>
      <c r="KUD9" s="4"/>
      <c r="KUE9" s="4"/>
      <c r="KUF9" s="4"/>
      <c r="KUG9" s="4"/>
      <c r="KUH9" s="4"/>
      <c r="KUI9" s="4"/>
      <c r="KUJ9" s="4"/>
      <c r="KUK9" s="4"/>
      <c r="KUL9" s="4"/>
      <c r="KUM9" s="4"/>
      <c r="KUN9" s="4"/>
      <c r="KUO9" s="4"/>
      <c r="KUP9" s="4"/>
      <c r="KUQ9" s="4"/>
      <c r="KUR9" s="4"/>
      <c r="KUS9" s="4"/>
      <c r="KUT9" s="4"/>
      <c r="KUU9" s="4"/>
      <c r="KUV9" s="4"/>
      <c r="KUW9" s="4"/>
      <c r="KUX9" s="4"/>
      <c r="KUY9" s="4"/>
      <c r="KUZ9" s="4"/>
      <c r="KVA9" s="4"/>
      <c r="KVB9" s="4"/>
      <c r="KVC9" s="4"/>
      <c r="KVD9" s="4"/>
      <c r="KVE9" s="4"/>
      <c r="KVF9" s="4"/>
      <c r="KVG9" s="4"/>
      <c r="KVH9" s="4"/>
      <c r="KVI9" s="4"/>
      <c r="KVJ9" s="4"/>
      <c r="KVK9" s="4"/>
      <c r="KVL9" s="4"/>
      <c r="KVM9" s="4"/>
      <c r="KVN9" s="4"/>
      <c r="KVO9" s="4"/>
      <c r="KVP9" s="4"/>
      <c r="KVQ9" s="4"/>
      <c r="KVR9" s="4"/>
      <c r="KVS9" s="4"/>
      <c r="KVT9" s="4"/>
      <c r="KVU9" s="4"/>
      <c r="KVV9" s="4"/>
      <c r="KVW9" s="4"/>
      <c r="KVX9" s="4"/>
      <c r="KVY9" s="4"/>
      <c r="KVZ9" s="4"/>
      <c r="KWA9" s="4"/>
      <c r="KWB9" s="4"/>
      <c r="KWC9" s="4"/>
      <c r="KWD9" s="4"/>
      <c r="KWE9" s="4"/>
      <c r="KWF9" s="4"/>
      <c r="KWG9" s="4"/>
      <c r="KWH9" s="4"/>
      <c r="KWI9" s="4"/>
      <c r="KWJ9" s="4"/>
      <c r="KWK9" s="4"/>
      <c r="KWL9" s="4"/>
      <c r="KWM9" s="4"/>
      <c r="KWN9" s="4"/>
      <c r="KWO9" s="4"/>
      <c r="KWP9" s="4"/>
      <c r="KWQ9" s="4"/>
      <c r="KWR9" s="4"/>
      <c r="KWS9" s="4"/>
      <c r="KWT9" s="4"/>
      <c r="KWU9" s="4"/>
      <c r="KWV9" s="4"/>
      <c r="KWW9" s="4"/>
      <c r="KWX9" s="4"/>
      <c r="KWY9" s="4"/>
      <c r="KWZ9" s="4"/>
      <c r="KXA9" s="4"/>
      <c r="KXB9" s="4"/>
      <c r="KXC9" s="4"/>
      <c r="KXD9" s="4"/>
      <c r="KXE9" s="4"/>
      <c r="KXF9" s="4"/>
      <c r="KXG9" s="4"/>
      <c r="KXH9" s="4"/>
      <c r="KXI9" s="4"/>
      <c r="KXJ9" s="4"/>
      <c r="KXK9" s="4"/>
      <c r="KXL9" s="4"/>
      <c r="KXM9" s="4"/>
      <c r="KXN9" s="4"/>
      <c r="KXO9" s="4"/>
      <c r="KXP9" s="4"/>
      <c r="KXQ9" s="4"/>
      <c r="KXR9" s="4"/>
      <c r="KXS9" s="4"/>
      <c r="KXT9" s="4"/>
      <c r="KXU9" s="4"/>
      <c r="KXV9" s="4"/>
      <c r="KXW9" s="4"/>
      <c r="KXX9" s="4"/>
      <c r="KXY9" s="4"/>
      <c r="KXZ9" s="4"/>
      <c r="KYA9" s="4"/>
      <c r="KYB9" s="4"/>
      <c r="KYC9" s="4"/>
      <c r="KYD9" s="4"/>
      <c r="KYE9" s="4"/>
      <c r="KYF9" s="4"/>
      <c r="KYG9" s="4"/>
      <c r="KYH9" s="4"/>
      <c r="KYI9" s="4"/>
      <c r="KYJ9" s="4"/>
      <c r="KYK9" s="4"/>
      <c r="KYL9" s="4"/>
      <c r="KYM9" s="4"/>
      <c r="KYN9" s="4"/>
      <c r="KYO9" s="4"/>
      <c r="KYP9" s="4"/>
      <c r="KYQ9" s="4"/>
      <c r="KYR9" s="4"/>
      <c r="KYS9" s="4"/>
      <c r="KYT9" s="4"/>
      <c r="KYU9" s="4"/>
      <c r="KYV9" s="4"/>
      <c r="KYW9" s="4"/>
      <c r="KYX9" s="4"/>
      <c r="KYY9" s="4"/>
      <c r="KYZ9" s="4"/>
      <c r="KZA9" s="4"/>
      <c r="KZB9" s="4"/>
      <c r="KZC9" s="4"/>
      <c r="KZD9" s="4"/>
      <c r="KZE9" s="4"/>
      <c r="KZF9" s="4"/>
      <c r="KZG9" s="4"/>
      <c r="KZH9" s="4"/>
      <c r="KZI9" s="4"/>
      <c r="KZJ9" s="4"/>
      <c r="KZK9" s="4"/>
      <c r="KZL9" s="4"/>
      <c r="KZM9" s="4"/>
      <c r="KZN9" s="4"/>
      <c r="KZO9" s="4"/>
      <c r="KZP9" s="4"/>
      <c r="KZQ9" s="4"/>
      <c r="KZR9" s="4"/>
      <c r="KZS9" s="4"/>
      <c r="KZT9" s="4"/>
      <c r="KZU9" s="4"/>
      <c r="KZV9" s="4"/>
      <c r="KZW9" s="4"/>
      <c r="KZX9" s="4"/>
      <c r="KZY9" s="4"/>
      <c r="KZZ9" s="4"/>
      <c r="LAA9" s="4"/>
      <c r="LAB9" s="4"/>
      <c r="LAC9" s="4"/>
      <c r="LAD9" s="4"/>
      <c r="LAE9" s="4"/>
      <c r="LAF9" s="4"/>
      <c r="LAG9" s="4"/>
      <c r="LAH9" s="4"/>
      <c r="LAI9" s="4"/>
      <c r="LAJ9" s="4"/>
      <c r="LAK9" s="4"/>
      <c r="LAL9" s="4"/>
      <c r="LAM9" s="4"/>
      <c r="LAN9" s="4"/>
      <c r="LAO9" s="4"/>
      <c r="LAP9" s="4"/>
      <c r="LAQ9" s="4"/>
      <c r="LAR9" s="4"/>
      <c r="LAS9" s="4"/>
      <c r="LAT9" s="4"/>
      <c r="LAU9" s="4"/>
      <c r="LAV9" s="4"/>
      <c r="LAW9" s="4"/>
      <c r="LAX9" s="4"/>
      <c r="LAY9" s="4"/>
      <c r="LAZ9" s="4"/>
      <c r="LBA9" s="4"/>
      <c r="LBB9" s="4"/>
      <c r="LBC9" s="4"/>
      <c r="LBD9" s="4"/>
      <c r="LBE9" s="4"/>
      <c r="LBF9" s="4"/>
      <c r="LBG9" s="4"/>
      <c r="LBH9" s="4"/>
      <c r="LBI9" s="4"/>
      <c r="LBJ9" s="4"/>
      <c r="LBK9" s="4"/>
      <c r="LBL9" s="4"/>
      <c r="LBM9" s="4"/>
      <c r="LBN9" s="4"/>
      <c r="LBO9" s="4"/>
      <c r="LBP9" s="4"/>
      <c r="LBQ9" s="4"/>
      <c r="LBR9" s="4"/>
      <c r="LBS9" s="4"/>
      <c r="LBT9" s="4"/>
      <c r="LBU9" s="4"/>
      <c r="LBV9" s="4"/>
      <c r="LBW9" s="4"/>
      <c r="LBX9" s="4"/>
      <c r="LBY9" s="4"/>
      <c r="LBZ9" s="4"/>
      <c r="LCA9" s="4"/>
      <c r="LCB9" s="4"/>
      <c r="LCC9" s="4"/>
      <c r="LCD9" s="4"/>
      <c r="LCE9" s="4"/>
      <c r="LCF9" s="4"/>
      <c r="LCG9" s="4"/>
      <c r="LCH9" s="4"/>
      <c r="LCI9" s="4"/>
      <c r="LCJ9" s="4"/>
      <c r="LCK9" s="4"/>
      <c r="LCL9" s="4"/>
      <c r="LCM9" s="4"/>
      <c r="LCN9" s="4"/>
      <c r="LCO9" s="4"/>
      <c r="LCP9" s="4"/>
      <c r="LCQ9" s="4"/>
      <c r="LCR9" s="4"/>
      <c r="LCS9" s="4"/>
      <c r="LCT9" s="4"/>
      <c r="LCU9" s="4"/>
      <c r="LCV9" s="4"/>
      <c r="LCW9" s="4"/>
      <c r="LCX9" s="4"/>
      <c r="LCY9" s="4"/>
      <c r="LCZ9" s="4"/>
      <c r="LDA9" s="4"/>
      <c r="LDB9" s="4"/>
      <c r="LDC9" s="4"/>
      <c r="LDD9" s="4"/>
      <c r="LDE9" s="4"/>
      <c r="LDF9" s="4"/>
      <c r="LDG9" s="4"/>
      <c r="LDH9" s="4"/>
      <c r="LDI9" s="4"/>
      <c r="LDJ9" s="4"/>
      <c r="LDK9" s="4"/>
      <c r="LDL9" s="4"/>
      <c r="LDM9" s="4"/>
      <c r="LDN9" s="4"/>
      <c r="LDO9" s="4"/>
      <c r="LDP9" s="4"/>
      <c r="LDQ9" s="4"/>
      <c r="LDR9" s="4"/>
      <c r="LDS9" s="4"/>
      <c r="LDT9" s="4"/>
      <c r="LDU9" s="4"/>
      <c r="LDV9" s="4"/>
      <c r="LDW9" s="4"/>
      <c r="LDX9" s="4"/>
      <c r="LDY9" s="4"/>
      <c r="LDZ9" s="4"/>
      <c r="LEA9" s="4"/>
      <c r="LEB9" s="4"/>
      <c r="LEC9" s="4"/>
      <c r="LED9" s="4"/>
      <c r="LEE9" s="4"/>
      <c r="LEF9" s="4"/>
      <c r="LEG9" s="4"/>
      <c r="LEH9" s="4"/>
      <c r="LEI9" s="4"/>
      <c r="LEJ9" s="4"/>
      <c r="LEK9" s="4"/>
      <c r="LEL9" s="4"/>
      <c r="LEM9" s="4"/>
      <c r="LEN9" s="4"/>
      <c r="LEO9" s="4"/>
      <c r="LEP9" s="4"/>
      <c r="LEQ9" s="4"/>
      <c r="LER9" s="4"/>
      <c r="LES9" s="4"/>
      <c r="LET9" s="4"/>
      <c r="LEU9" s="4"/>
      <c r="LEV9" s="4"/>
      <c r="LEW9" s="4"/>
      <c r="LEX9" s="4"/>
      <c r="LEY9" s="4"/>
      <c r="LEZ9" s="4"/>
      <c r="LFA9" s="4"/>
      <c r="LFB9" s="4"/>
      <c r="LFC9" s="4"/>
      <c r="LFD9" s="4"/>
      <c r="LFE9" s="4"/>
      <c r="LFF9" s="4"/>
      <c r="LFG9" s="4"/>
      <c r="LFH9" s="4"/>
      <c r="LFI9" s="4"/>
      <c r="LFJ9" s="4"/>
      <c r="LFK9" s="4"/>
      <c r="LFL9" s="4"/>
      <c r="LFM9" s="4"/>
      <c r="LFN9" s="4"/>
      <c r="LFO9" s="4"/>
      <c r="LFP9" s="4"/>
      <c r="LFQ9" s="4"/>
      <c r="LFR9" s="4"/>
      <c r="LFS9" s="4"/>
      <c r="LFT9" s="4"/>
      <c r="LFU9" s="4"/>
      <c r="LFV9" s="4"/>
      <c r="LFW9" s="4"/>
      <c r="LFX9" s="4"/>
      <c r="LFY9" s="4"/>
      <c r="LFZ9" s="4"/>
      <c r="LGA9" s="4"/>
      <c r="LGB9" s="4"/>
      <c r="LGC9" s="4"/>
      <c r="LGD9" s="4"/>
      <c r="LGE9" s="4"/>
      <c r="LGF9" s="4"/>
      <c r="LGG9" s="4"/>
      <c r="LGH9" s="4"/>
      <c r="LGI9" s="4"/>
      <c r="LGJ9" s="4"/>
      <c r="LGK9" s="4"/>
      <c r="LGL9" s="4"/>
      <c r="LGM9" s="4"/>
      <c r="LGN9" s="4"/>
      <c r="LGO9" s="4"/>
      <c r="LGP9" s="4"/>
      <c r="LGQ9" s="4"/>
      <c r="LGR9" s="4"/>
      <c r="LGS9" s="4"/>
      <c r="LGT9" s="4"/>
      <c r="LGU9" s="4"/>
      <c r="LGV9" s="4"/>
      <c r="LGW9" s="4"/>
      <c r="LGX9" s="4"/>
      <c r="LGY9" s="4"/>
      <c r="LGZ9" s="4"/>
      <c r="LHA9" s="4"/>
      <c r="LHB9" s="4"/>
      <c r="LHC9" s="4"/>
      <c r="LHD9" s="4"/>
      <c r="LHE9" s="4"/>
      <c r="LHF9" s="4"/>
      <c r="LHG9" s="4"/>
      <c r="LHH9" s="4"/>
      <c r="LHI9" s="4"/>
      <c r="LHJ9" s="4"/>
      <c r="LHK9" s="4"/>
      <c r="LHL9" s="4"/>
      <c r="LHM9" s="4"/>
      <c r="LHN9" s="4"/>
      <c r="LHO9" s="4"/>
      <c r="LHP9" s="4"/>
      <c r="LHQ9" s="4"/>
      <c r="LHR9" s="4"/>
      <c r="LHS9" s="4"/>
      <c r="LHT9" s="4"/>
      <c r="LHU9" s="4"/>
      <c r="LHV9" s="4"/>
      <c r="LHW9" s="4"/>
      <c r="LHX9" s="4"/>
      <c r="LHY9" s="4"/>
      <c r="LHZ9" s="4"/>
      <c r="LIA9" s="4"/>
      <c r="LIB9" s="4"/>
      <c r="LIC9" s="4"/>
      <c r="LID9" s="4"/>
      <c r="LIE9" s="4"/>
      <c r="LIF9" s="4"/>
      <c r="LIG9" s="4"/>
      <c r="LIH9" s="4"/>
      <c r="LII9" s="4"/>
      <c r="LIJ9" s="4"/>
      <c r="LIK9" s="4"/>
      <c r="LIL9" s="4"/>
      <c r="LIM9" s="4"/>
      <c r="LIN9" s="4"/>
      <c r="LIO9" s="4"/>
      <c r="LIP9" s="4"/>
      <c r="LIQ9" s="4"/>
      <c r="LIR9" s="4"/>
      <c r="LIS9" s="4"/>
      <c r="LIT9" s="4"/>
      <c r="LIU9" s="4"/>
      <c r="LIV9" s="4"/>
      <c r="LIW9" s="4"/>
      <c r="LIX9" s="4"/>
      <c r="LIY9" s="4"/>
      <c r="LIZ9" s="4"/>
      <c r="LJA9" s="4"/>
      <c r="LJB9" s="4"/>
      <c r="LJC9" s="4"/>
      <c r="LJD9" s="4"/>
      <c r="LJE9" s="4"/>
      <c r="LJF9" s="4"/>
      <c r="LJG9" s="4"/>
      <c r="LJH9" s="4"/>
      <c r="LJI9" s="4"/>
      <c r="LJJ9" s="4"/>
      <c r="LJK9" s="4"/>
      <c r="LJL9" s="4"/>
      <c r="LJM9" s="4"/>
      <c r="LJN9" s="4"/>
      <c r="LJO9" s="4"/>
      <c r="LJP9" s="4"/>
      <c r="LJQ9" s="4"/>
      <c r="LJR9" s="4"/>
      <c r="LJS9" s="4"/>
      <c r="LJT9" s="4"/>
      <c r="LJU9" s="4"/>
      <c r="LJV9" s="4"/>
      <c r="LJW9" s="4"/>
      <c r="LJX9" s="4"/>
      <c r="LJY9" s="4"/>
      <c r="LJZ9" s="4"/>
      <c r="LKA9" s="4"/>
      <c r="LKB9" s="4"/>
      <c r="LKC9" s="4"/>
      <c r="LKD9" s="4"/>
      <c r="LKE9" s="4"/>
      <c r="LKF9" s="4"/>
      <c r="LKG9" s="4"/>
      <c r="LKH9" s="4"/>
      <c r="LKI9" s="4"/>
      <c r="LKJ9" s="4"/>
      <c r="LKK9" s="4"/>
      <c r="LKL9" s="4"/>
      <c r="LKM9" s="4"/>
      <c r="LKN9" s="4"/>
      <c r="LKO9" s="4"/>
      <c r="LKP9" s="4"/>
      <c r="LKQ9" s="4"/>
      <c r="LKR9" s="4"/>
      <c r="LKS9" s="4"/>
      <c r="LKT9" s="4"/>
      <c r="LKU9" s="4"/>
      <c r="LKV9" s="4"/>
      <c r="LKW9" s="4"/>
      <c r="LKX9" s="4"/>
      <c r="LKY9" s="4"/>
      <c r="LKZ9" s="4"/>
      <c r="LLA9" s="4"/>
      <c r="LLB9" s="4"/>
      <c r="LLC9" s="4"/>
      <c r="LLD9" s="4"/>
      <c r="LLE9" s="4"/>
      <c r="LLF9" s="4"/>
      <c r="LLG9" s="4"/>
      <c r="LLH9" s="4"/>
      <c r="LLI9" s="4"/>
      <c r="LLJ9" s="4"/>
      <c r="LLK9" s="4"/>
      <c r="LLL9" s="4"/>
      <c r="LLM9" s="4"/>
      <c r="LLN9" s="4"/>
      <c r="LLO9" s="4"/>
      <c r="LLP9" s="4"/>
      <c r="LLQ9" s="4"/>
      <c r="LLR9" s="4"/>
      <c r="LLS9" s="4"/>
      <c r="LLT9" s="4"/>
      <c r="LLU9" s="4"/>
      <c r="LLV9" s="4"/>
      <c r="LLW9" s="4"/>
      <c r="LLX9" s="4"/>
      <c r="LLY9" s="4"/>
      <c r="LLZ9" s="4"/>
      <c r="LMA9" s="4"/>
      <c r="LMB9" s="4"/>
      <c r="LMC9" s="4"/>
      <c r="LMD9" s="4"/>
      <c r="LME9" s="4"/>
      <c r="LMF9" s="4"/>
      <c r="LMG9" s="4"/>
      <c r="LMH9" s="4"/>
      <c r="LMI9" s="4"/>
      <c r="LMJ9" s="4"/>
      <c r="LMK9" s="4"/>
      <c r="LML9" s="4"/>
      <c r="LMM9" s="4"/>
      <c r="LMN9" s="4"/>
      <c r="LMO9" s="4"/>
      <c r="LMP9" s="4"/>
      <c r="LMQ9" s="4"/>
      <c r="LMR9" s="4"/>
      <c r="LMS9" s="4"/>
      <c r="LMT9" s="4"/>
      <c r="LMU9" s="4"/>
      <c r="LMV9" s="4"/>
      <c r="LMW9" s="4"/>
      <c r="LMX9" s="4"/>
      <c r="LMY9" s="4"/>
      <c r="LMZ9" s="4"/>
      <c r="LNA9" s="4"/>
      <c r="LNB9" s="4"/>
      <c r="LNC9" s="4"/>
      <c r="LND9" s="4"/>
      <c r="LNE9" s="4"/>
      <c r="LNF9" s="4"/>
      <c r="LNG9" s="4"/>
      <c r="LNH9" s="4"/>
      <c r="LNI9" s="4"/>
      <c r="LNJ9" s="4"/>
      <c r="LNK9" s="4"/>
      <c r="LNL9" s="4"/>
      <c r="LNM9" s="4"/>
      <c r="LNN9" s="4"/>
      <c r="LNO9" s="4"/>
      <c r="LNP9" s="4"/>
      <c r="LNQ9" s="4"/>
      <c r="LNR9" s="4"/>
      <c r="LNS9" s="4"/>
      <c r="LNT9" s="4"/>
      <c r="LNU9" s="4"/>
      <c r="LNV9" s="4"/>
      <c r="LNW9" s="4"/>
      <c r="LNX9" s="4"/>
      <c r="LNY9" s="4"/>
      <c r="LNZ9" s="4"/>
      <c r="LOA9" s="4"/>
      <c r="LOB9" s="4"/>
      <c r="LOC9" s="4"/>
      <c r="LOD9" s="4"/>
      <c r="LOE9" s="4"/>
      <c r="LOF9" s="4"/>
      <c r="LOG9" s="4"/>
      <c r="LOH9" s="4"/>
      <c r="LOI9" s="4"/>
      <c r="LOJ9" s="4"/>
      <c r="LOK9" s="4"/>
      <c r="LOL9" s="4"/>
      <c r="LOM9" s="4"/>
      <c r="LON9" s="4"/>
      <c r="LOO9" s="4"/>
      <c r="LOP9" s="4"/>
      <c r="LOQ9" s="4"/>
      <c r="LOR9" s="4"/>
      <c r="LOS9" s="4"/>
      <c r="LOT9" s="4"/>
      <c r="LOU9" s="4"/>
      <c r="LOV9" s="4"/>
      <c r="LOW9" s="4"/>
      <c r="LOX9" s="4"/>
      <c r="LOY9" s="4"/>
      <c r="LOZ9" s="4"/>
      <c r="LPA9" s="4"/>
      <c r="LPB9" s="4"/>
      <c r="LPC9" s="4"/>
      <c r="LPD9" s="4"/>
      <c r="LPE9" s="4"/>
      <c r="LPF9" s="4"/>
      <c r="LPG9" s="4"/>
      <c r="LPH9" s="4"/>
      <c r="LPI9" s="4"/>
      <c r="LPJ9" s="4"/>
      <c r="LPK9" s="4"/>
      <c r="LPL9" s="4"/>
      <c r="LPM9" s="4"/>
      <c r="LPN9" s="4"/>
      <c r="LPO9" s="4"/>
      <c r="LPP9" s="4"/>
      <c r="LPQ9" s="4"/>
      <c r="LPR9" s="4"/>
      <c r="LPS9" s="4"/>
      <c r="LPT9" s="4"/>
      <c r="LPU9" s="4"/>
      <c r="LPV9" s="4"/>
      <c r="LPW9" s="4"/>
      <c r="LPX9" s="4"/>
      <c r="LPY9" s="4"/>
      <c r="LPZ9" s="4"/>
      <c r="LQA9" s="4"/>
      <c r="LQB9" s="4"/>
      <c r="LQC9" s="4"/>
      <c r="LQD9" s="4"/>
      <c r="LQE9" s="4"/>
      <c r="LQF9" s="4"/>
      <c r="LQG9" s="4"/>
      <c r="LQH9" s="4"/>
      <c r="LQI9" s="4"/>
      <c r="LQJ9" s="4"/>
      <c r="LQK9" s="4"/>
      <c r="LQL9" s="4"/>
      <c r="LQM9" s="4"/>
      <c r="LQN9" s="4"/>
      <c r="LQO9" s="4"/>
      <c r="LQP9" s="4"/>
      <c r="LQQ9" s="4"/>
      <c r="LQR9" s="4"/>
      <c r="LQS9" s="4"/>
      <c r="LQT9" s="4"/>
      <c r="LQU9" s="4"/>
      <c r="LQV9" s="4"/>
      <c r="LQW9" s="4"/>
      <c r="LQX9" s="4"/>
      <c r="LQY9" s="4"/>
      <c r="LQZ9" s="4"/>
      <c r="LRA9" s="4"/>
      <c r="LRB9" s="4"/>
      <c r="LRC9" s="4"/>
      <c r="LRD9" s="4"/>
      <c r="LRE9" s="4"/>
      <c r="LRF9" s="4"/>
      <c r="LRG9" s="4"/>
      <c r="LRH9" s="4"/>
      <c r="LRI9" s="4"/>
      <c r="LRJ9" s="4"/>
      <c r="LRK9" s="4"/>
      <c r="LRL9" s="4"/>
      <c r="LRM9" s="4"/>
      <c r="LRN9" s="4"/>
      <c r="LRO9" s="4"/>
      <c r="LRP9" s="4"/>
      <c r="LRQ9" s="4"/>
      <c r="LRR9" s="4"/>
      <c r="LRS9" s="4"/>
      <c r="LRT9" s="4"/>
      <c r="LRU9" s="4"/>
      <c r="LRV9" s="4"/>
      <c r="LRW9" s="4"/>
      <c r="LRX9" s="4"/>
      <c r="LRY9" s="4"/>
      <c r="LRZ9" s="4"/>
      <c r="LSA9" s="4"/>
      <c r="LSB9" s="4"/>
      <c r="LSC9" s="4"/>
      <c r="LSD9" s="4"/>
      <c r="LSE9" s="4"/>
      <c r="LSF9" s="4"/>
      <c r="LSG9" s="4"/>
      <c r="LSH9" s="4"/>
      <c r="LSI9" s="4"/>
      <c r="LSJ9" s="4"/>
      <c r="LSK9" s="4"/>
      <c r="LSL9" s="4"/>
      <c r="LSM9" s="4"/>
      <c r="LSN9" s="4"/>
      <c r="LSO9" s="4"/>
      <c r="LSP9" s="4"/>
      <c r="LSQ9" s="4"/>
      <c r="LSR9" s="4"/>
      <c r="LSS9" s="4"/>
      <c r="LST9" s="4"/>
      <c r="LSU9" s="4"/>
      <c r="LSV9" s="4"/>
      <c r="LSW9" s="4"/>
      <c r="LSX9" s="4"/>
      <c r="LSY9" s="4"/>
      <c r="LSZ9" s="4"/>
      <c r="LTA9" s="4"/>
      <c r="LTB9" s="4"/>
      <c r="LTC9" s="4"/>
      <c r="LTD9" s="4"/>
      <c r="LTE9" s="4"/>
      <c r="LTF9" s="4"/>
      <c r="LTG9" s="4"/>
      <c r="LTH9" s="4"/>
      <c r="LTI9" s="4"/>
      <c r="LTJ9" s="4"/>
      <c r="LTK9" s="4"/>
      <c r="LTL9" s="4"/>
      <c r="LTM9" s="4"/>
      <c r="LTN9" s="4"/>
      <c r="LTO9" s="4"/>
      <c r="LTP9" s="4"/>
      <c r="LTQ9" s="4"/>
      <c r="LTR9" s="4"/>
      <c r="LTS9" s="4"/>
      <c r="LTT9" s="4"/>
      <c r="LTU9" s="4"/>
      <c r="LTV9" s="4"/>
      <c r="LTW9" s="4"/>
      <c r="LTX9" s="4"/>
      <c r="LTY9" s="4"/>
      <c r="LTZ9" s="4"/>
      <c r="LUA9" s="4"/>
      <c r="LUB9" s="4"/>
      <c r="LUC9" s="4"/>
      <c r="LUD9" s="4"/>
      <c r="LUE9" s="4"/>
      <c r="LUF9" s="4"/>
      <c r="LUG9" s="4"/>
      <c r="LUH9" s="4"/>
      <c r="LUI9" s="4"/>
      <c r="LUJ9" s="4"/>
      <c r="LUK9" s="4"/>
      <c r="LUL9" s="4"/>
      <c r="LUM9" s="4"/>
      <c r="LUN9" s="4"/>
      <c r="LUO9" s="4"/>
      <c r="LUP9" s="4"/>
      <c r="LUQ9" s="4"/>
      <c r="LUR9" s="4"/>
      <c r="LUS9" s="4"/>
      <c r="LUT9" s="4"/>
      <c r="LUU9" s="4"/>
      <c r="LUV9" s="4"/>
      <c r="LUW9" s="4"/>
      <c r="LUX9" s="4"/>
      <c r="LUY9" s="4"/>
      <c r="LUZ9" s="4"/>
      <c r="LVA9" s="4"/>
      <c r="LVB9" s="4"/>
      <c r="LVC9" s="4"/>
      <c r="LVD9" s="4"/>
      <c r="LVE9" s="4"/>
      <c r="LVF9" s="4"/>
      <c r="LVG9" s="4"/>
      <c r="LVH9" s="4"/>
      <c r="LVI9" s="4"/>
      <c r="LVJ9" s="4"/>
      <c r="LVK9" s="4"/>
      <c r="LVL9" s="4"/>
      <c r="LVM9" s="4"/>
      <c r="LVN9" s="4"/>
      <c r="LVO9" s="4"/>
      <c r="LVP9" s="4"/>
      <c r="LVQ9" s="4"/>
      <c r="LVR9" s="4"/>
      <c r="LVS9" s="4"/>
      <c r="LVT9" s="4"/>
      <c r="LVU9" s="4"/>
      <c r="LVV9" s="4"/>
      <c r="LVW9" s="4"/>
      <c r="LVX9" s="4"/>
      <c r="LVY9" s="4"/>
      <c r="LVZ9" s="4"/>
      <c r="LWA9" s="4"/>
      <c r="LWB9" s="4"/>
      <c r="LWC9" s="4"/>
      <c r="LWD9" s="4"/>
      <c r="LWE9" s="4"/>
      <c r="LWF9" s="4"/>
      <c r="LWG9" s="4"/>
      <c r="LWH9" s="4"/>
      <c r="LWI9" s="4"/>
      <c r="LWJ9" s="4"/>
      <c r="LWK9" s="4"/>
      <c r="LWL9" s="4"/>
      <c r="LWM9" s="4"/>
      <c r="LWN9" s="4"/>
      <c r="LWO9" s="4"/>
      <c r="LWP9" s="4"/>
      <c r="LWQ9" s="4"/>
      <c r="LWR9" s="4"/>
      <c r="LWS9" s="4"/>
      <c r="LWT9" s="4"/>
      <c r="LWU9" s="4"/>
      <c r="LWV9" s="4"/>
      <c r="LWW9" s="4"/>
      <c r="LWX9" s="4"/>
      <c r="LWY9" s="4"/>
      <c r="LWZ9" s="4"/>
      <c r="LXA9" s="4"/>
      <c r="LXB9" s="4"/>
      <c r="LXC9" s="4"/>
      <c r="LXD9" s="4"/>
      <c r="LXE9" s="4"/>
      <c r="LXF9" s="4"/>
      <c r="LXG9" s="4"/>
      <c r="LXH9" s="4"/>
      <c r="LXI9" s="4"/>
      <c r="LXJ9" s="4"/>
      <c r="LXK9" s="4"/>
      <c r="LXL9" s="4"/>
      <c r="LXM9" s="4"/>
      <c r="LXN9" s="4"/>
      <c r="LXO9" s="4"/>
      <c r="LXP9" s="4"/>
      <c r="LXQ9" s="4"/>
      <c r="LXR9" s="4"/>
      <c r="LXS9" s="4"/>
      <c r="LXT9" s="4"/>
      <c r="LXU9" s="4"/>
      <c r="LXV9" s="4"/>
      <c r="LXW9" s="4"/>
      <c r="LXX9" s="4"/>
      <c r="LXY9" s="4"/>
      <c r="LXZ9" s="4"/>
      <c r="LYA9" s="4"/>
      <c r="LYB9" s="4"/>
      <c r="LYC9" s="4"/>
      <c r="LYD9" s="4"/>
      <c r="LYE9" s="4"/>
      <c r="LYF9" s="4"/>
      <c r="LYG9" s="4"/>
      <c r="LYH9" s="4"/>
      <c r="LYI9" s="4"/>
      <c r="LYJ9" s="4"/>
      <c r="LYK9" s="4"/>
      <c r="LYL9" s="4"/>
      <c r="LYM9" s="4"/>
      <c r="LYN9" s="4"/>
      <c r="LYO9" s="4"/>
      <c r="LYP9" s="4"/>
      <c r="LYQ9" s="4"/>
      <c r="LYR9" s="4"/>
      <c r="LYS9" s="4"/>
      <c r="LYT9" s="4"/>
      <c r="LYU9" s="4"/>
      <c r="LYV9" s="4"/>
      <c r="LYW9" s="4"/>
      <c r="LYX9" s="4"/>
      <c r="LYY9" s="4"/>
      <c r="LYZ9" s="4"/>
      <c r="LZA9" s="4"/>
      <c r="LZB9" s="4"/>
      <c r="LZC9" s="4"/>
      <c r="LZD9" s="4"/>
      <c r="LZE9" s="4"/>
      <c r="LZF9" s="4"/>
      <c r="LZG9" s="4"/>
      <c r="LZH9" s="4"/>
      <c r="LZI9" s="4"/>
      <c r="LZJ9" s="4"/>
      <c r="LZK9" s="4"/>
      <c r="LZL9" s="4"/>
      <c r="LZM9" s="4"/>
      <c r="LZN9" s="4"/>
      <c r="LZO9" s="4"/>
      <c r="LZP9" s="4"/>
      <c r="LZQ9" s="4"/>
      <c r="LZR9" s="4"/>
      <c r="LZS9" s="4"/>
      <c r="LZT9" s="4"/>
      <c r="LZU9" s="4"/>
      <c r="LZV9" s="4"/>
      <c r="LZW9" s="4"/>
      <c r="LZX9" s="4"/>
      <c r="LZY9" s="4"/>
      <c r="LZZ9" s="4"/>
      <c r="MAA9" s="4"/>
      <c r="MAB9" s="4"/>
      <c r="MAC9" s="4"/>
      <c r="MAD9" s="4"/>
      <c r="MAE9" s="4"/>
      <c r="MAF9" s="4"/>
      <c r="MAG9" s="4"/>
      <c r="MAH9" s="4"/>
      <c r="MAI9" s="4"/>
      <c r="MAJ9" s="4"/>
      <c r="MAK9" s="4"/>
      <c r="MAL9" s="4"/>
      <c r="MAM9" s="4"/>
      <c r="MAN9" s="4"/>
      <c r="MAO9" s="4"/>
      <c r="MAP9" s="4"/>
      <c r="MAQ9" s="4"/>
      <c r="MAR9" s="4"/>
      <c r="MAS9" s="4"/>
      <c r="MAT9" s="4"/>
      <c r="MAU9" s="4"/>
      <c r="MAV9" s="4"/>
      <c r="MAW9" s="4"/>
      <c r="MAX9" s="4"/>
      <c r="MAY9" s="4"/>
      <c r="MAZ9" s="4"/>
      <c r="MBA9" s="4"/>
      <c r="MBB9" s="4"/>
      <c r="MBC9" s="4"/>
      <c r="MBD9" s="4"/>
      <c r="MBE9" s="4"/>
      <c r="MBF9" s="4"/>
      <c r="MBG9" s="4"/>
      <c r="MBH9" s="4"/>
      <c r="MBI9" s="4"/>
      <c r="MBJ9" s="4"/>
      <c r="MBK9" s="4"/>
      <c r="MBL9" s="4"/>
      <c r="MBM9" s="4"/>
      <c r="MBN9" s="4"/>
      <c r="MBO9" s="4"/>
      <c r="MBP9" s="4"/>
      <c r="MBQ9" s="4"/>
      <c r="MBR9" s="4"/>
      <c r="MBS9" s="4"/>
      <c r="MBT9" s="4"/>
      <c r="MBU9" s="4"/>
      <c r="MBV9" s="4"/>
      <c r="MBW9" s="4"/>
      <c r="MBX9" s="4"/>
      <c r="MBY9" s="4"/>
      <c r="MBZ9" s="4"/>
      <c r="MCA9" s="4"/>
      <c r="MCB9" s="4"/>
      <c r="MCC9" s="4"/>
      <c r="MCD9" s="4"/>
      <c r="MCE9" s="4"/>
      <c r="MCF9" s="4"/>
      <c r="MCG9" s="4"/>
      <c r="MCH9" s="4"/>
      <c r="MCI9" s="4"/>
      <c r="MCJ9" s="4"/>
      <c r="MCK9" s="4"/>
      <c r="MCL9" s="4"/>
      <c r="MCM9" s="4"/>
      <c r="MCN9" s="4"/>
      <c r="MCO9" s="4"/>
      <c r="MCP9" s="4"/>
      <c r="MCQ9" s="4"/>
      <c r="MCR9" s="4"/>
      <c r="MCS9" s="4"/>
      <c r="MCT9" s="4"/>
      <c r="MCU9" s="4"/>
      <c r="MCV9" s="4"/>
      <c r="MCW9" s="4"/>
      <c r="MCX9" s="4"/>
      <c r="MCY9" s="4"/>
      <c r="MCZ9" s="4"/>
      <c r="MDA9" s="4"/>
      <c r="MDB9" s="4"/>
      <c r="MDC9" s="4"/>
      <c r="MDD9" s="4"/>
      <c r="MDE9" s="4"/>
      <c r="MDF9" s="4"/>
      <c r="MDG9" s="4"/>
      <c r="MDH9" s="4"/>
      <c r="MDI9" s="4"/>
      <c r="MDJ9" s="4"/>
      <c r="MDK9" s="4"/>
      <c r="MDL9" s="4"/>
      <c r="MDM9" s="4"/>
      <c r="MDN9" s="4"/>
      <c r="MDO9" s="4"/>
      <c r="MDP9" s="4"/>
      <c r="MDQ9" s="4"/>
      <c r="MDR9" s="4"/>
      <c r="MDS9" s="4"/>
      <c r="MDT9" s="4"/>
      <c r="MDU9" s="4"/>
      <c r="MDV9" s="4"/>
      <c r="MDW9" s="4"/>
      <c r="MDX9" s="4"/>
      <c r="MDY9" s="4"/>
      <c r="MDZ9" s="4"/>
      <c r="MEA9" s="4"/>
      <c r="MEB9" s="4"/>
      <c r="MEC9" s="4"/>
      <c r="MED9" s="4"/>
      <c r="MEE9" s="4"/>
      <c r="MEF9" s="4"/>
      <c r="MEG9" s="4"/>
      <c r="MEH9" s="4"/>
      <c r="MEI9" s="4"/>
      <c r="MEJ9" s="4"/>
      <c r="MEK9" s="4"/>
      <c r="MEL9" s="4"/>
      <c r="MEM9" s="4"/>
      <c r="MEN9" s="4"/>
      <c r="MEO9" s="4"/>
      <c r="MEP9" s="4"/>
      <c r="MEQ9" s="4"/>
      <c r="MER9" s="4"/>
      <c r="MES9" s="4"/>
      <c r="MET9" s="4"/>
      <c r="MEU9" s="4"/>
      <c r="MEV9" s="4"/>
      <c r="MEW9" s="4"/>
      <c r="MEX9" s="4"/>
      <c r="MEY9" s="4"/>
      <c r="MEZ9" s="4"/>
      <c r="MFA9" s="4"/>
      <c r="MFB9" s="4"/>
      <c r="MFC9" s="4"/>
      <c r="MFD9" s="4"/>
      <c r="MFE9" s="4"/>
      <c r="MFF9" s="4"/>
      <c r="MFG9" s="4"/>
      <c r="MFH9" s="4"/>
      <c r="MFI9" s="4"/>
      <c r="MFJ9" s="4"/>
      <c r="MFK9" s="4"/>
      <c r="MFL9" s="4"/>
      <c r="MFM9" s="4"/>
      <c r="MFN9" s="4"/>
      <c r="MFO9" s="4"/>
      <c r="MFP9" s="4"/>
      <c r="MFQ9" s="4"/>
      <c r="MFR9" s="4"/>
      <c r="MFS9" s="4"/>
      <c r="MFT9" s="4"/>
      <c r="MFU9" s="4"/>
      <c r="MFV9" s="4"/>
      <c r="MFW9" s="4"/>
      <c r="MFX9" s="4"/>
      <c r="MFY9" s="4"/>
      <c r="MFZ9" s="4"/>
      <c r="MGA9" s="4"/>
      <c r="MGB9" s="4"/>
      <c r="MGC9" s="4"/>
      <c r="MGD9" s="4"/>
      <c r="MGE9" s="4"/>
      <c r="MGF9" s="4"/>
      <c r="MGG9" s="4"/>
      <c r="MGH9" s="4"/>
      <c r="MGI9" s="4"/>
      <c r="MGJ9" s="4"/>
      <c r="MGK9" s="4"/>
      <c r="MGL9" s="4"/>
      <c r="MGM9" s="4"/>
      <c r="MGN9" s="4"/>
      <c r="MGO9" s="4"/>
      <c r="MGP9" s="4"/>
      <c r="MGQ9" s="4"/>
      <c r="MGR9" s="4"/>
      <c r="MGS9" s="4"/>
      <c r="MGT9" s="4"/>
      <c r="MGU9" s="4"/>
      <c r="MGV9" s="4"/>
      <c r="MGW9" s="4"/>
      <c r="MGX9" s="4"/>
      <c r="MGY9" s="4"/>
      <c r="MGZ9" s="4"/>
      <c r="MHA9" s="4"/>
      <c r="MHB9" s="4"/>
      <c r="MHC9" s="4"/>
      <c r="MHD9" s="4"/>
      <c r="MHE9" s="4"/>
      <c r="MHF9" s="4"/>
      <c r="MHG9" s="4"/>
      <c r="MHH9" s="4"/>
      <c r="MHI9" s="4"/>
      <c r="MHJ9" s="4"/>
      <c r="MHK9" s="4"/>
      <c r="MHL9" s="4"/>
      <c r="MHM9" s="4"/>
      <c r="MHN9" s="4"/>
      <c r="MHO9" s="4"/>
      <c r="MHP9" s="4"/>
      <c r="MHQ9" s="4"/>
      <c r="MHR9" s="4"/>
      <c r="MHS9" s="4"/>
      <c r="MHT9" s="4"/>
      <c r="MHU9" s="4"/>
      <c r="MHV9" s="4"/>
      <c r="MHW9" s="4"/>
      <c r="MHX9" s="4"/>
      <c r="MHY9" s="4"/>
      <c r="MHZ9" s="4"/>
      <c r="MIA9" s="4"/>
      <c r="MIB9" s="4"/>
      <c r="MIC9" s="4"/>
      <c r="MID9" s="4"/>
      <c r="MIE9" s="4"/>
      <c r="MIF9" s="4"/>
      <c r="MIG9" s="4"/>
      <c r="MIH9" s="4"/>
      <c r="MII9" s="4"/>
      <c r="MIJ9" s="4"/>
      <c r="MIK9" s="4"/>
      <c r="MIL9" s="4"/>
      <c r="MIM9" s="4"/>
      <c r="MIN9" s="4"/>
      <c r="MIO9" s="4"/>
      <c r="MIP9" s="4"/>
      <c r="MIQ9" s="4"/>
      <c r="MIR9" s="4"/>
      <c r="MIS9" s="4"/>
      <c r="MIT9" s="4"/>
      <c r="MIU9" s="4"/>
      <c r="MIV9" s="4"/>
      <c r="MIW9" s="4"/>
      <c r="MIX9" s="4"/>
      <c r="MIY9" s="4"/>
      <c r="MIZ9" s="4"/>
      <c r="MJA9" s="4"/>
      <c r="MJB9" s="4"/>
      <c r="MJC9" s="4"/>
      <c r="MJD9" s="4"/>
      <c r="MJE9" s="4"/>
      <c r="MJF9" s="4"/>
      <c r="MJG9" s="4"/>
      <c r="MJH9" s="4"/>
      <c r="MJI9" s="4"/>
      <c r="MJJ9" s="4"/>
      <c r="MJK9" s="4"/>
      <c r="MJL9" s="4"/>
      <c r="MJM9" s="4"/>
      <c r="MJN9" s="4"/>
      <c r="MJO9" s="4"/>
      <c r="MJP9" s="4"/>
      <c r="MJQ9" s="4"/>
      <c r="MJR9" s="4"/>
      <c r="MJS9" s="4"/>
      <c r="MJT9" s="4"/>
      <c r="MJU9" s="4"/>
      <c r="MJV9" s="4"/>
      <c r="MJW9" s="4"/>
      <c r="MJX9" s="4"/>
      <c r="MJY9" s="4"/>
      <c r="MJZ9" s="4"/>
      <c r="MKA9" s="4"/>
      <c r="MKB9" s="4"/>
      <c r="MKC9" s="4"/>
      <c r="MKD9" s="4"/>
      <c r="MKE9" s="4"/>
      <c r="MKF9" s="4"/>
      <c r="MKG9" s="4"/>
      <c r="MKH9" s="4"/>
      <c r="MKI9" s="4"/>
      <c r="MKJ9" s="4"/>
      <c r="MKK9" s="4"/>
      <c r="MKL9" s="4"/>
      <c r="MKM9" s="4"/>
      <c r="MKN9" s="4"/>
      <c r="MKO9" s="4"/>
      <c r="MKP9" s="4"/>
      <c r="MKQ9" s="4"/>
      <c r="MKR9" s="4"/>
      <c r="MKS9" s="4"/>
      <c r="MKT9" s="4"/>
      <c r="MKU9" s="4"/>
      <c r="MKV9" s="4"/>
      <c r="MKW9" s="4"/>
      <c r="MKX9" s="4"/>
      <c r="MKY9" s="4"/>
      <c r="MKZ9" s="4"/>
      <c r="MLA9" s="4"/>
      <c r="MLB9" s="4"/>
      <c r="MLC9" s="4"/>
      <c r="MLD9" s="4"/>
      <c r="MLE9" s="4"/>
      <c r="MLF9" s="4"/>
      <c r="MLG9" s="4"/>
      <c r="MLH9" s="4"/>
      <c r="MLI9" s="4"/>
      <c r="MLJ9" s="4"/>
      <c r="MLK9" s="4"/>
      <c r="MLL9" s="4"/>
      <c r="MLM9" s="4"/>
      <c r="MLN9" s="4"/>
      <c r="MLO9" s="4"/>
      <c r="MLP9" s="4"/>
      <c r="MLQ9" s="4"/>
      <c r="MLR9" s="4"/>
      <c r="MLS9" s="4"/>
      <c r="MLT9" s="4"/>
      <c r="MLU9" s="4"/>
      <c r="MLV9" s="4"/>
      <c r="MLW9" s="4"/>
      <c r="MLX9" s="4"/>
      <c r="MLY9" s="4"/>
      <c r="MLZ9" s="4"/>
      <c r="MMA9" s="4"/>
      <c r="MMB9" s="4"/>
      <c r="MMC9" s="4"/>
      <c r="MMD9" s="4"/>
      <c r="MME9" s="4"/>
      <c r="MMF9" s="4"/>
      <c r="MMG9" s="4"/>
      <c r="MMH9" s="4"/>
      <c r="MMI9" s="4"/>
      <c r="MMJ9" s="4"/>
      <c r="MMK9" s="4"/>
      <c r="MML9" s="4"/>
      <c r="MMM9" s="4"/>
      <c r="MMN9" s="4"/>
      <c r="MMO9" s="4"/>
      <c r="MMP9" s="4"/>
      <c r="MMQ9" s="4"/>
      <c r="MMR9" s="4"/>
      <c r="MMS9" s="4"/>
      <c r="MMT9" s="4"/>
      <c r="MMU9" s="4"/>
      <c r="MMV9" s="4"/>
      <c r="MMW9" s="4"/>
      <c r="MMX9" s="4"/>
      <c r="MMY9" s="4"/>
      <c r="MMZ9" s="4"/>
      <c r="MNA9" s="4"/>
      <c r="MNB9" s="4"/>
      <c r="MNC9" s="4"/>
      <c r="MND9" s="4"/>
      <c r="MNE9" s="4"/>
      <c r="MNF9" s="4"/>
      <c r="MNG9" s="4"/>
      <c r="MNH9" s="4"/>
      <c r="MNI9" s="4"/>
      <c r="MNJ9" s="4"/>
      <c r="MNK9" s="4"/>
      <c r="MNL9" s="4"/>
      <c r="MNM9" s="4"/>
      <c r="MNN9" s="4"/>
      <c r="MNO9" s="4"/>
      <c r="MNP9" s="4"/>
      <c r="MNQ9" s="4"/>
      <c r="MNR9" s="4"/>
      <c r="MNS9" s="4"/>
      <c r="MNT9" s="4"/>
      <c r="MNU9" s="4"/>
      <c r="MNV9" s="4"/>
      <c r="MNW9" s="4"/>
      <c r="MNX9" s="4"/>
      <c r="MNY9" s="4"/>
      <c r="MNZ9" s="4"/>
      <c r="MOA9" s="4"/>
      <c r="MOB9" s="4"/>
      <c r="MOC9" s="4"/>
      <c r="MOD9" s="4"/>
      <c r="MOE9" s="4"/>
      <c r="MOF9" s="4"/>
      <c r="MOG9" s="4"/>
      <c r="MOH9" s="4"/>
      <c r="MOI9" s="4"/>
      <c r="MOJ9" s="4"/>
      <c r="MOK9" s="4"/>
      <c r="MOL9" s="4"/>
      <c r="MOM9" s="4"/>
      <c r="MON9" s="4"/>
      <c r="MOO9" s="4"/>
      <c r="MOP9" s="4"/>
      <c r="MOQ9" s="4"/>
      <c r="MOR9" s="4"/>
      <c r="MOS9" s="4"/>
      <c r="MOT9" s="4"/>
      <c r="MOU9" s="4"/>
      <c r="MOV9" s="4"/>
      <c r="MOW9" s="4"/>
      <c r="MOX9" s="4"/>
      <c r="MOY9" s="4"/>
      <c r="MOZ9" s="4"/>
      <c r="MPA9" s="4"/>
      <c r="MPB9" s="4"/>
      <c r="MPC9" s="4"/>
      <c r="MPD9" s="4"/>
      <c r="MPE9" s="4"/>
      <c r="MPF9" s="4"/>
      <c r="MPG9" s="4"/>
      <c r="MPH9" s="4"/>
      <c r="MPI9" s="4"/>
      <c r="MPJ9" s="4"/>
      <c r="MPK9" s="4"/>
      <c r="MPL9" s="4"/>
      <c r="MPM9" s="4"/>
      <c r="MPN9" s="4"/>
      <c r="MPO9" s="4"/>
      <c r="MPP9" s="4"/>
      <c r="MPQ9" s="4"/>
      <c r="MPR9" s="4"/>
      <c r="MPS9" s="4"/>
      <c r="MPT9" s="4"/>
      <c r="MPU9" s="4"/>
      <c r="MPV9" s="4"/>
      <c r="MPW9" s="4"/>
      <c r="MPX9" s="4"/>
      <c r="MPY9" s="4"/>
      <c r="MPZ9" s="4"/>
      <c r="MQA9" s="4"/>
      <c r="MQB9" s="4"/>
      <c r="MQC9" s="4"/>
      <c r="MQD9" s="4"/>
      <c r="MQE9" s="4"/>
      <c r="MQF9" s="4"/>
      <c r="MQG9" s="4"/>
      <c r="MQH9" s="4"/>
      <c r="MQI9" s="4"/>
      <c r="MQJ9" s="4"/>
      <c r="MQK9" s="4"/>
      <c r="MQL9" s="4"/>
      <c r="MQM9" s="4"/>
      <c r="MQN9" s="4"/>
      <c r="MQO9" s="4"/>
      <c r="MQP9" s="4"/>
      <c r="MQQ9" s="4"/>
      <c r="MQR9" s="4"/>
      <c r="MQS9" s="4"/>
      <c r="MQT9" s="4"/>
      <c r="MQU9" s="4"/>
      <c r="MQV9" s="4"/>
      <c r="MQW9" s="4"/>
      <c r="MQX9" s="4"/>
      <c r="MQY9" s="4"/>
      <c r="MQZ9" s="4"/>
      <c r="MRA9" s="4"/>
      <c r="MRB9" s="4"/>
      <c r="MRC9" s="4"/>
      <c r="MRD9" s="4"/>
      <c r="MRE9" s="4"/>
      <c r="MRF9" s="4"/>
      <c r="MRG9" s="4"/>
      <c r="MRH9" s="4"/>
      <c r="MRI9" s="4"/>
      <c r="MRJ9" s="4"/>
      <c r="MRK9" s="4"/>
      <c r="MRL9" s="4"/>
      <c r="MRM9" s="4"/>
      <c r="MRN9" s="4"/>
      <c r="MRO9" s="4"/>
      <c r="MRP9" s="4"/>
      <c r="MRQ9" s="4"/>
      <c r="MRR9" s="4"/>
      <c r="MRS9" s="4"/>
      <c r="MRT9" s="4"/>
      <c r="MRU9" s="4"/>
      <c r="MRV9" s="4"/>
      <c r="MRW9" s="4"/>
      <c r="MRX9" s="4"/>
      <c r="MRY9" s="4"/>
      <c r="MRZ9" s="4"/>
      <c r="MSA9" s="4"/>
      <c r="MSB9" s="4"/>
      <c r="MSC9" s="4"/>
      <c r="MSD9" s="4"/>
      <c r="MSE9" s="4"/>
      <c r="MSF9" s="4"/>
      <c r="MSG9" s="4"/>
      <c r="MSH9" s="4"/>
      <c r="MSI9" s="4"/>
      <c r="MSJ9" s="4"/>
      <c r="MSK9" s="4"/>
      <c r="MSL9" s="4"/>
      <c r="MSM9" s="4"/>
      <c r="MSN9" s="4"/>
      <c r="MSO9" s="4"/>
      <c r="MSP9" s="4"/>
      <c r="MSQ9" s="4"/>
      <c r="MSR9" s="4"/>
      <c r="MSS9" s="4"/>
      <c r="MST9" s="4"/>
      <c r="MSU9" s="4"/>
      <c r="MSV9" s="4"/>
      <c r="MSW9" s="4"/>
      <c r="MSX9" s="4"/>
      <c r="MSY9" s="4"/>
      <c r="MSZ9" s="4"/>
      <c r="MTA9" s="4"/>
      <c r="MTB9" s="4"/>
      <c r="MTC9" s="4"/>
      <c r="MTD9" s="4"/>
      <c r="MTE9" s="4"/>
      <c r="MTF9" s="4"/>
      <c r="MTG9" s="4"/>
      <c r="MTH9" s="4"/>
      <c r="MTI9" s="4"/>
      <c r="MTJ9" s="4"/>
      <c r="MTK9" s="4"/>
      <c r="MTL9" s="4"/>
      <c r="MTM9" s="4"/>
      <c r="MTN9" s="4"/>
      <c r="MTO9" s="4"/>
      <c r="MTP9" s="4"/>
      <c r="MTQ9" s="4"/>
      <c r="MTR9" s="4"/>
      <c r="MTS9" s="4"/>
      <c r="MTT9" s="4"/>
      <c r="MTU9" s="4"/>
      <c r="MTV9" s="4"/>
      <c r="MTW9" s="4"/>
      <c r="MTX9" s="4"/>
      <c r="MTY9" s="4"/>
      <c r="MTZ9" s="4"/>
      <c r="MUA9" s="4"/>
      <c r="MUB9" s="4"/>
      <c r="MUC9" s="4"/>
      <c r="MUD9" s="4"/>
      <c r="MUE9" s="4"/>
      <c r="MUF9" s="4"/>
      <c r="MUG9" s="4"/>
      <c r="MUH9" s="4"/>
      <c r="MUI9" s="4"/>
      <c r="MUJ9" s="4"/>
      <c r="MUK9" s="4"/>
      <c r="MUL9" s="4"/>
      <c r="MUM9" s="4"/>
      <c r="MUN9" s="4"/>
      <c r="MUO9" s="4"/>
      <c r="MUP9" s="4"/>
      <c r="MUQ9" s="4"/>
      <c r="MUR9" s="4"/>
      <c r="MUS9" s="4"/>
      <c r="MUT9" s="4"/>
      <c r="MUU9" s="4"/>
      <c r="MUV9" s="4"/>
      <c r="MUW9" s="4"/>
      <c r="MUX9" s="4"/>
      <c r="MUY9" s="4"/>
      <c r="MUZ9" s="4"/>
      <c r="MVA9" s="4"/>
      <c r="MVB9" s="4"/>
      <c r="MVC9" s="4"/>
      <c r="MVD9" s="4"/>
      <c r="MVE9" s="4"/>
      <c r="MVF9" s="4"/>
      <c r="MVG9" s="4"/>
      <c r="MVH9" s="4"/>
      <c r="MVI9" s="4"/>
      <c r="MVJ9" s="4"/>
      <c r="MVK9" s="4"/>
      <c r="MVL9" s="4"/>
      <c r="MVM9" s="4"/>
      <c r="MVN9" s="4"/>
      <c r="MVO9" s="4"/>
      <c r="MVP9" s="4"/>
      <c r="MVQ9" s="4"/>
      <c r="MVR9" s="4"/>
      <c r="MVS9" s="4"/>
      <c r="MVT9" s="4"/>
      <c r="MVU9" s="4"/>
      <c r="MVV9" s="4"/>
      <c r="MVW9" s="4"/>
      <c r="MVX9" s="4"/>
      <c r="MVY9" s="4"/>
      <c r="MVZ9" s="4"/>
      <c r="MWA9" s="4"/>
      <c r="MWB9" s="4"/>
      <c r="MWC9" s="4"/>
      <c r="MWD9" s="4"/>
      <c r="MWE9" s="4"/>
      <c r="MWF9" s="4"/>
      <c r="MWG9" s="4"/>
      <c r="MWH9" s="4"/>
      <c r="MWI9" s="4"/>
      <c r="MWJ9" s="4"/>
      <c r="MWK9" s="4"/>
      <c r="MWL9" s="4"/>
      <c r="MWM9" s="4"/>
      <c r="MWN9" s="4"/>
      <c r="MWO9" s="4"/>
      <c r="MWP9" s="4"/>
      <c r="MWQ9" s="4"/>
      <c r="MWR9" s="4"/>
      <c r="MWS9" s="4"/>
      <c r="MWT9" s="4"/>
      <c r="MWU9" s="4"/>
      <c r="MWV9" s="4"/>
      <c r="MWW9" s="4"/>
      <c r="MWX9" s="4"/>
      <c r="MWY9" s="4"/>
      <c r="MWZ9" s="4"/>
      <c r="MXA9" s="4"/>
      <c r="MXB9" s="4"/>
      <c r="MXC9" s="4"/>
      <c r="MXD9" s="4"/>
      <c r="MXE9" s="4"/>
      <c r="MXF9" s="4"/>
      <c r="MXG9" s="4"/>
      <c r="MXH9" s="4"/>
      <c r="MXI9" s="4"/>
      <c r="MXJ9" s="4"/>
      <c r="MXK9" s="4"/>
      <c r="MXL9" s="4"/>
      <c r="MXM9" s="4"/>
      <c r="MXN9" s="4"/>
      <c r="MXO9" s="4"/>
      <c r="MXP9" s="4"/>
      <c r="MXQ9" s="4"/>
      <c r="MXR9" s="4"/>
      <c r="MXS9" s="4"/>
      <c r="MXT9" s="4"/>
      <c r="MXU9" s="4"/>
      <c r="MXV9" s="4"/>
      <c r="MXW9" s="4"/>
      <c r="MXX9" s="4"/>
      <c r="MXY9" s="4"/>
      <c r="MXZ9" s="4"/>
      <c r="MYA9" s="4"/>
      <c r="MYB9" s="4"/>
      <c r="MYC9" s="4"/>
      <c r="MYD9" s="4"/>
      <c r="MYE9" s="4"/>
      <c r="MYF9" s="4"/>
      <c r="MYG9" s="4"/>
      <c r="MYH9" s="4"/>
      <c r="MYI9" s="4"/>
      <c r="MYJ9" s="4"/>
      <c r="MYK9" s="4"/>
      <c r="MYL9" s="4"/>
      <c r="MYM9" s="4"/>
      <c r="MYN9" s="4"/>
      <c r="MYO9" s="4"/>
      <c r="MYP9" s="4"/>
      <c r="MYQ9" s="4"/>
      <c r="MYR9" s="4"/>
      <c r="MYS9" s="4"/>
      <c r="MYT9" s="4"/>
      <c r="MYU9" s="4"/>
      <c r="MYV9" s="4"/>
      <c r="MYW9" s="4"/>
      <c r="MYX9" s="4"/>
      <c r="MYY9" s="4"/>
      <c r="MYZ9" s="4"/>
      <c r="MZA9" s="4"/>
      <c r="MZB9" s="4"/>
      <c r="MZC9" s="4"/>
      <c r="MZD9" s="4"/>
      <c r="MZE9" s="4"/>
      <c r="MZF9" s="4"/>
      <c r="MZG9" s="4"/>
      <c r="MZH9" s="4"/>
      <c r="MZI9" s="4"/>
      <c r="MZJ9" s="4"/>
      <c r="MZK9" s="4"/>
      <c r="MZL9" s="4"/>
      <c r="MZM9" s="4"/>
      <c r="MZN9" s="4"/>
      <c r="MZO9" s="4"/>
      <c r="MZP9" s="4"/>
      <c r="MZQ9" s="4"/>
      <c r="MZR9" s="4"/>
      <c r="MZS9" s="4"/>
      <c r="MZT9" s="4"/>
      <c r="MZU9" s="4"/>
      <c r="MZV9" s="4"/>
      <c r="MZW9" s="4"/>
      <c r="MZX9" s="4"/>
      <c r="MZY9" s="4"/>
      <c r="MZZ9" s="4"/>
      <c r="NAA9" s="4"/>
      <c r="NAB9" s="4"/>
      <c r="NAC9" s="4"/>
      <c r="NAD9" s="4"/>
      <c r="NAE9" s="4"/>
      <c r="NAF9" s="4"/>
      <c r="NAG9" s="4"/>
      <c r="NAH9" s="4"/>
      <c r="NAI9" s="4"/>
      <c r="NAJ9" s="4"/>
      <c r="NAK9" s="4"/>
      <c r="NAL9" s="4"/>
      <c r="NAM9" s="4"/>
      <c r="NAN9" s="4"/>
      <c r="NAO9" s="4"/>
      <c r="NAP9" s="4"/>
      <c r="NAQ9" s="4"/>
      <c r="NAR9" s="4"/>
      <c r="NAS9" s="4"/>
      <c r="NAT9" s="4"/>
      <c r="NAU9" s="4"/>
      <c r="NAV9" s="4"/>
      <c r="NAW9" s="4"/>
      <c r="NAX9" s="4"/>
      <c r="NAY9" s="4"/>
      <c r="NAZ9" s="4"/>
      <c r="NBA9" s="4"/>
      <c r="NBB9" s="4"/>
      <c r="NBC9" s="4"/>
      <c r="NBD9" s="4"/>
      <c r="NBE9" s="4"/>
      <c r="NBF9" s="4"/>
      <c r="NBG9" s="4"/>
      <c r="NBH9" s="4"/>
      <c r="NBI9" s="4"/>
      <c r="NBJ9" s="4"/>
      <c r="NBK9" s="4"/>
      <c r="NBL9" s="4"/>
      <c r="NBM9" s="4"/>
      <c r="NBN9" s="4"/>
      <c r="NBO9" s="4"/>
      <c r="NBP9" s="4"/>
      <c r="NBQ9" s="4"/>
      <c r="NBR9" s="4"/>
      <c r="NBS9" s="4"/>
      <c r="NBT9" s="4"/>
      <c r="NBU9" s="4"/>
      <c r="NBV9" s="4"/>
      <c r="NBW9" s="4"/>
      <c r="NBX9" s="4"/>
      <c r="NBY9" s="4"/>
      <c r="NBZ9" s="4"/>
      <c r="NCA9" s="4"/>
      <c r="NCB9" s="4"/>
      <c r="NCC9" s="4"/>
      <c r="NCD9" s="4"/>
      <c r="NCE9" s="4"/>
      <c r="NCF9" s="4"/>
      <c r="NCG9" s="4"/>
      <c r="NCH9" s="4"/>
      <c r="NCI9" s="4"/>
      <c r="NCJ9" s="4"/>
      <c r="NCK9" s="4"/>
      <c r="NCL9" s="4"/>
      <c r="NCM9" s="4"/>
      <c r="NCN9" s="4"/>
      <c r="NCO9" s="4"/>
      <c r="NCP9" s="4"/>
      <c r="NCQ9" s="4"/>
      <c r="NCR9" s="4"/>
      <c r="NCS9" s="4"/>
      <c r="NCT9" s="4"/>
      <c r="NCU9" s="4"/>
      <c r="NCV9" s="4"/>
      <c r="NCW9" s="4"/>
      <c r="NCX9" s="4"/>
      <c r="NCY9" s="4"/>
      <c r="NCZ9" s="4"/>
      <c r="NDA9" s="4"/>
      <c r="NDB9" s="4"/>
      <c r="NDC9" s="4"/>
      <c r="NDD9" s="4"/>
      <c r="NDE9" s="4"/>
      <c r="NDF9" s="4"/>
      <c r="NDG9" s="4"/>
      <c r="NDH9" s="4"/>
      <c r="NDI9" s="4"/>
      <c r="NDJ9" s="4"/>
      <c r="NDK9" s="4"/>
      <c r="NDL9" s="4"/>
      <c r="NDM9" s="4"/>
      <c r="NDN9" s="4"/>
      <c r="NDO9" s="4"/>
      <c r="NDP9" s="4"/>
      <c r="NDQ9" s="4"/>
      <c r="NDR9" s="4"/>
      <c r="NDS9" s="4"/>
      <c r="NDT9" s="4"/>
      <c r="NDU9" s="4"/>
      <c r="NDV9" s="4"/>
      <c r="NDW9" s="4"/>
      <c r="NDX9" s="4"/>
      <c r="NDY9" s="4"/>
      <c r="NDZ9" s="4"/>
      <c r="NEA9" s="4"/>
      <c r="NEB9" s="4"/>
      <c r="NEC9" s="4"/>
      <c r="NED9" s="4"/>
      <c r="NEE9" s="4"/>
      <c r="NEF9" s="4"/>
      <c r="NEG9" s="4"/>
      <c r="NEH9" s="4"/>
      <c r="NEI9" s="4"/>
      <c r="NEJ9" s="4"/>
      <c r="NEK9" s="4"/>
      <c r="NEL9" s="4"/>
      <c r="NEM9" s="4"/>
      <c r="NEN9" s="4"/>
      <c r="NEO9" s="4"/>
      <c r="NEP9" s="4"/>
      <c r="NEQ9" s="4"/>
      <c r="NER9" s="4"/>
      <c r="NES9" s="4"/>
      <c r="NET9" s="4"/>
      <c r="NEU9" s="4"/>
      <c r="NEV9" s="4"/>
      <c r="NEW9" s="4"/>
      <c r="NEX9" s="4"/>
      <c r="NEY9" s="4"/>
      <c r="NEZ9" s="4"/>
      <c r="NFA9" s="4"/>
      <c r="NFB9" s="4"/>
      <c r="NFC9" s="4"/>
      <c r="NFD9" s="4"/>
      <c r="NFE9" s="4"/>
      <c r="NFF9" s="4"/>
      <c r="NFG9" s="4"/>
      <c r="NFH9" s="4"/>
      <c r="NFI9" s="4"/>
      <c r="NFJ9" s="4"/>
      <c r="NFK9" s="4"/>
      <c r="NFL9" s="4"/>
      <c r="NFM9" s="4"/>
      <c r="NFN9" s="4"/>
      <c r="NFO9" s="4"/>
      <c r="NFP9" s="4"/>
      <c r="NFQ9" s="4"/>
      <c r="NFR9" s="4"/>
      <c r="NFS9" s="4"/>
      <c r="NFT9" s="4"/>
      <c r="NFU9" s="4"/>
      <c r="NFV9" s="4"/>
      <c r="NFW9" s="4"/>
      <c r="NFX9" s="4"/>
      <c r="NFY9" s="4"/>
      <c r="NFZ9" s="4"/>
      <c r="NGA9" s="4"/>
      <c r="NGB9" s="4"/>
      <c r="NGC9" s="4"/>
      <c r="NGD9" s="4"/>
      <c r="NGE9" s="4"/>
      <c r="NGF9" s="4"/>
      <c r="NGG9" s="4"/>
      <c r="NGH9" s="4"/>
      <c r="NGI9" s="4"/>
      <c r="NGJ9" s="4"/>
      <c r="NGK9" s="4"/>
      <c r="NGL9" s="4"/>
      <c r="NGM9" s="4"/>
      <c r="NGN9" s="4"/>
      <c r="NGO9" s="4"/>
      <c r="NGP9" s="4"/>
      <c r="NGQ9" s="4"/>
      <c r="NGR9" s="4"/>
      <c r="NGS9" s="4"/>
      <c r="NGT9" s="4"/>
      <c r="NGU9" s="4"/>
      <c r="NGV9" s="4"/>
      <c r="NGW9" s="4"/>
      <c r="NGX9" s="4"/>
      <c r="NGY9" s="4"/>
      <c r="NGZ9" s="4"/>
      <c r="NHA9" s="4"/>
      <c r="NHB9" s="4"/>
      <c r="NHC9" s="4"/>
      <c r="NHD9" s="4"/>
      <c r="NHE9" s="4"/>
      <c r="NHF9" s="4"/>
      <c r="NHG9" s="4"/>
      <c r="NHH9" s="4"/>
      <c r="NHI9" s="4"/>
      <c r="NHJ9" s="4"/>
      <c r="NHK9" s="4"/>
      <c r="NHL9" s="4"/>
      <c r="NHM9" s="4"/>
      <c r="NHN9" s="4"/>
      <c r="NHO9" s="4"/>
      <c r="NHP9" s="4"/>
      <c r="NHQ9" s="4"/>
      <c r="NHR9" s="4"/>
      <c r="NHS9" s="4"/>
      <c r="NHT9" s="4"/>
      <c r="NHU9" s="4"/>
      <c r="NHV9" s="4"/>
      <c r="NHW9" s="4"/>
      <c r="NHX9" s="4"/>
      <c r="NHY9" s="4"/>
      <c r="NHZ9" s="4"/>
      <c r="NIA9" s="4"/>
      <c r="NIB9" s="4"/>
      <c r="NIC9" s="4"/>
      <c r="NID9" s="4"/>
      <c r="NIE9" s="4"/>
      <c r="NIF9" s="4"/>
      <c r="NIG9" s="4"/>
      <c r="NIH9" s="4"/>
      <c r="NII9" s="4"/>
      <c r="NIJ9" s="4"/>
      <c r="NIK9" s="4"/>
      <c r="NIL9" s="4"/>
      <c r="NIM9" s="4"/>
      <c r="NIN9" s="4"/>
      <c r="NIO9" s="4"/>
      <c r="NIP9" s="4"/>
      <c r="NIQ9" s="4"/>
      <c r="NIR9" s="4"/>
      <c r="NIS9" s="4"/>
      <c r="NIT9" s="4"/>
      <c r="NIU9" s="4"/>
      <c r="NIV9" s="4"/>
      <c r="NIW9" s="4"/>
      <c r="NIX9" s="4"/>
      <c r="NIY9" s="4"/>
      <c r="NIZ9" s="4"/>
      <c r="NJA9" s="4"/>
      <c r="NJB9" s="4"/>
      <c r="NJC9" s="4"/>
      <c r="NJD9" s="4"/>
      <c r="NJE9" s="4"/>
      <c r="NJF9" s="4"/>
      <c r="NJG9" s="4"/>
      <c r="NJH9" s="4"/>
      <c r="NJI9" s="4"/>
      <c r="NJJ9" s="4"/>
      <c r="NJK9" s="4"/>
      <c r="NJL9" s="4"/>
      <c r="NJM9" s="4"/>
      <c r="NJN9" s="4"/>
      <c r="NJO9" s="4"/>
      <c r="NJP9" s="4"/>
      <c r="NJQ9" s="4"/>
      <c r="NJR9" s="4"/>
      <c r="NJS9" s="4"/>
      <c r="NJT9" s="4"/>
      <c r="NJU9" s="4"/>
      <c r="NJV9" s="4"/>
      <c r="NJW9" s="4"/>
      <c r="NJX9" s="4"/>
      <c r="NJY9" s="4"/>
      <c r="NJZ9" s="4"/>
      <c r="NKA9" s="4"/>
      <c r="NKB9" s="4"/>
      <c r="NKC9" s="4"/>
      <c r="NKD9" s="4"/>
      <c r="NKE9" s="4"/>
      <c r="NKF9" s="4"/>
      <c r="NKG9" s="4"/>
      <c r="NKH9" s="4"/>
      <c r="NKI9" s="4"/>
      <c r="NKJ9" s="4"/>
      <c r="NKK9" s="4"/>
      <c r="NKL9" s="4"/>
      <c r="NKM9" s="4"/>
      <c r="NKN9" s="4"/>
      <c r="NKO9" s="4"/>
      <c r="NKP9" s="4"/>
      <c r="NKQ9" s="4"/>
      <c r="NKR9" s="4"/>
      <c r="NKS9" s="4"/>
      <c r="NKT9" s="4"/>
      <c r="NKU9" s="4"/>
      <c r="NKV9" s="4"/>
      <c r="NKW9" s="4"/>
      <c r="NKX9" s="4"/>
      <c r="NKY9" s="4"/>
      <c r="NKZ9" s="4"/>
      <c r="NLA9" s="4"/>
      <c r="NLB9" s="4"/>
      <c r="NLC9" s="4"/>
      <c r="NLD9" s="4"/>
      <c r="NLE9" s="4"/>
      <c r="NLF9" s="4"/>
      <c r="NLG9" s="4"/>
      <c r="NLH9" s="4"/>
      <c r="NLI9" s="4"/>
      <c r="NLJ9" s="4"/>
      <c r="NLK9" s="4"/>
      <c r="NLL9" s="4"/>
      <c r="NLM9" s="4"/>
      <c r="NLN9" s="4"/>
      <c r="NLO9" s="4"/>
      <c r="NLP9" s="4"/>
      <c r="NLQ9" s="4"/>
      <c r="NLR9" s="4"/>
      <c r="NLS9" s="4"/>
      <c r="NLT9" s="4"/>
      <c r="NLU9" s="4"/>
      <c r="NLV9" s="4"/>
      <c r="NLW9" s="4"/>
      <c r="NLX9" s="4"/>
      <c r="NLY9" s="4"/>
      <c r="NLZ9" s="4"/>
      <c r="NMA9" s="4"/>
      <c r="NMB9" s="4"/>
      <c r="NMC9" s="4"/>
      <c r="NMD9" s="4"/>
      <c r="NME9" s="4"/>
      <c r="NMF9" s="4"/>
      <c r="NMG9" s="4"/>
      <c r="NMH9" s="4"/>
      <c r="NMI9" s="4"/>
      <c r="NMJ9" s="4"/>
      <c r="NMK9" s="4"/>
      <c r="NML9" s="4"/>
      <c r="NMM9" s="4"/>
      <c r="NMN9" s="4"/>
      <c r="NMO9" s="4"/>
      <c r="NMP9" s="4"/>
      <c r="NMQ9" s="4"/>
      <c r="NMR9" s="4"/>
      <c r="NMS9" s="4"/>
      <c r="NMT9" s="4"/>
      <c r="NMU9" s="4"/>
      <c r="NMV9" s="4"/>
      <c r="NMW9" s="4"/>
      <c r="NMX9" s="4"/>
      <c r="NMY9" s="4"/>
      <c r="NMZ9" s="4"/>
      <c r="NNA9" s="4"/>
      <c r="NNB9" s="4"/>
      <c r="NNC9" s="4"/>
      <c r="NND9" s="4"/>
      <c r="NNE9" s="4"/>
      <c r="NNF9" s="4"/>
      <c r="NNG9" s="4"/>
      <c r="NNH9" s="4"/>
      <c r="NNI9" s="4"/>
      <c r="NNJ9" s="4"/>
      <c r="NNK9" s="4"/>
      <c r="NNL9" s="4"/>
      <c r="NNM9" s="4"/>
      <c r="NNN9" s="4"/>
      <c r="NNO9" s="4"/>
      <c r="NNP9" s="4"/>
      <c r="NNQ9" s="4"/>
      <c r="NNR9" s="4"/>
      <c r="NNS9" s="4"/>
      <c r="NNT9" s="4"/>
      <c r="NNU9" s="4"/>
      <c r="NNV9" s="4"/>
      <c r="NNW9" s="4"/>
      <c r="NNX9" s="4"/>
      <c r="NNY9" s="4"/>
      <c r="NNZ9" s="4"/>
      <c r="NOA9" s="4"/>
      <c r="NOB9" s="4"/>
      <c r="NOC9" s="4"/>
      <c r="NOD9" s="4"/>
      <c r="NOE9" s="4"/>
      <c r="NOF9" s="4"/>
      <c r="NOG9" s="4"/>
      <c r="NOH9" s="4"/>
      <c r="NOI9" s="4"/>
      <c r="NOJ9" s="4"/>
      <c r="NOK9" s="4"/>
      <c r="NOL9" s="4"/>
      <c r="NOM9" s="4"/>
      <c r="NON9" s="4"/>
      <c r="NOO9" s="4"/>
      <c r="NOP9" s="4"/>
      <c r="NOQ9" s="4"/>
      <c r="NOR9" s="4"/>
      <c r="NOS9" s="4"/>
      <c r="NOT9" s="4"/>
      <c r="NOU9" s="4"/>
      <c r="NOV9" s="4"/>
      <c r="NOW9" s="4"/>
      <c r="NOX9" s="4"/>
      <c r="NOY9" s="4"/>
      <c r="NOZ9" s="4"/>
      <c r="NPA9" s="4"/>
      <c r="NPB9" s="4"/>
      <c r="NPC9" s="4"/>
      <c r="NPD9" s="4"/>
      <c r="NPE9" s="4"/>
      <c r="NPF9" s="4"/>
      <c r="NPG9" s="4"/>
      <c r="NPH9" s="4"/>
      <c r="NPI9" s="4"/>
      <c r="NPJ9" s="4"/>
      <c r="NPK9" s="4"/>
      <c r="NPL9" s="4"/>
      <c r="NPM9" s="4"/>
      <c r="NPN9" s="4"/>
      <c r="NPO9" s="4"/>
      <c r="NPP9" s="4"/>
      <c r="NPQ9" s="4"/>
      <c r="NPR9" s="4"/>
      <c r="NPS9" s="4"/>
      <c r="NPT9" s="4"/>
      <c r="NPU9" s="4"/>
      <c r="NPV9" s="4"/>
      <c r="NPW9" s="4"/>
      <c r="NPX9" s="4"/>
      <c r="NPY9" s="4"/>
      <c r="NPZ9" s="4"/>
      <c r="NQA9" s="4"/>
      <c r="NQB9" s="4"/>
      <c r="NQC9" s="4"/>
      <c r="NQD9" s="4"/>
      <c r="NQE9" s="4"/>
      <c r="NQF9" s="4"/>
      <c r="NQG9" s="4"/>
      <c r="NQH9" s="4"/>
      <c r="NQI9" s="4"/>
      <c r="NQJ9" s="4"/>
      <c r="NQK9" s="4"/>
      <c r="NQL9" s="4"/>
      <c r="NQM9" s="4"/>
      <c r="NQN9" s="4"/>
      <c r="NQO9" s="4"/>
      <c r="NQP9" s="4"/>
      <c r="NQQ9" s="4"/>
      <c r="NQR9" s="4"/>
      <c r="NQS9" s="4"/>
      <c r="NQT9" s="4"/>
      <c r="NQU9" s="4"/>
      <c r="NQV9" s="4"/>
      <c r="NQW9" s="4"/>
      <c r="NQX9" s="4"/>
      <c r="NQY9" s="4"/>
      <c r="NQZ9" s="4"/>
      <c r="NRA9" s="4"/>
      <c r="NRB9" s="4"/>
      <c r="NRC9" s="4"/>
      <c r="NRD9" s="4"/>
      <c r="NRE9" s="4"/>
      <c r="NRF9" s="4"/>
      <c r="NRG9" s="4"/>
      <c r="NRH9" s="4"/>
      <c r="NRI9" s="4"/>
      <c r="NRJ9" s="4"/>
      <c r="NRK9" s="4"/>
      <c r="NRL9" s="4"/>
      <c r="NRM9" s="4"/>
      <c r="NRN9" s="4"/>
      <c r="NRO9" s="4"/>
      <c r="NRP9" s="4"/>
      <c r="NRQ9" s="4"/>
      <c r="NRR9" s="4"/>
      <c r="NRS9" s="4"/>
      <c r="NRT9" s="4"/>
      <c r="NRU9" s="4"/>
      <c r="NRV9" s="4"/>
      <c r="NRW9" s="4"/>
      <c r="NRX9" s="4"/>
      <c r="NRY9" s="4"/>
      <c r="NRZ9" s="4"/>
      <c r="NSA9" s="4"/>
      <c r="NSB9" s="4"/>
      <c r="NSC9" s="4"/>
      <c r="NSD9" s="4"/>
      <c r="NSE9" s="4"/>
      <c r="NSF9" s="4"/>
      <c r="NSG9" s="4"/>
      <c r="NSH9" s="4"/>
      <c r="NSI9" s="4"/>
      <c r="NSJ9" s="4"/>
      <c r="NSK9" s="4"/>
      <c r="NSL9" s="4"/>
      <c r="NSM9" s="4"/>
      <c r="NSN9" s="4"/>
      <c r="NSO9" s="4"/>
      <c r="NSP9" s="4"/>
      <c r="NSQ9" s="4"/>
      <c r="NSR9" s="4"/>
      <c r="NSS9" s="4"/>
      <c r="NST9" s="4"/>
      <c r="NSU9" s="4"/>
      <c r="NSV9" s="4"/>
      <c r="NSW9" s="4"/>
      <c r="NSX9" s="4"/>
      <c r="NSY9" s="4"/>
      <c r="NSZ9" s="4"/>
      <c r="NTA9" s="4"/>
      <c r="NTB9" s="4"/>
      <c r="NTC9" s="4"/>
      <c r="NTD9" s="4"/>
      <c r="NTE9" s="4"/>
      <c r="NTF9" s="4"/>
      <c r="NTG9" s="4"/>
      <c r="NTH9" s="4"/>
      <c r="NTI9" s="4"/>
      <c r="NTJ9" s="4"/>
      <c r="NTK9" s="4"/>
      <c r="NTL9" s="4"/>
      <c r="NTM9" s="4"/>
      <c r="NTN9" s="4"/>
      <c r="NTO9" s="4"/>
      <c r="NTP9" s="4"/>
      <c r="NTQ9" s="4"/>
      <c r="NTR9" s="4"/>
      <c r="NTS9" s="4"/>
      <c r="NTT9" s="4"/>
      <c r="NTU9" s="4"/>
      <c r="NTV9" s="4"/>
      <c r="NTW9" s="4"/>
      <c r="NTX9" s="4"/>
      <c r="NTY9" s="4"/>
      <c r="NTZ9" s="4"/>
      <c r="NUA9" s="4"/>
      <c r="NUB9" s="4"/>
      <c r="NUC9" s="4"/>
      <c r="NUD9" s="4"/>
      <c r="NUE9" s="4"/>
      <c r="NUF9" s="4"/>
      <c r="NUG9" s="4"/>
      <c r="NUH9" s="4"/>
      <c r="NUI9" s="4"/>
      <c r="NUJ9" s="4"/>
      <c r="NUK9" s="4"/>
      <c r="NUL9" s="4"/>
      <c r="NUM9" s="4"/>
      <c r="NUN9" s="4"/>
      <c r="NUO9" s="4"/>
      <c r="NUP9" s="4"/>
      <c r="NUQ9" s="4"/>
      <c r="NUR9" s="4"/>
      <c r="NUS9" s="4"/>
      <c r="NUT9" s="4"/>
      <c r="NUU9" s="4"/>
      <c r="NUV9" s="4"/>
      <c r="NUW9" s="4"/>
      <c r="NUX9" s="4"/>
      <c r="NUY9" s="4"/>
      <c r="NUZ9" s="4"/>
      <c r="NVA9" s="4"/>
      <c r="NVB9" s="4"/>
      <c r="NVC9" s="4"/>
      <c r="NVD9" s="4"/>
      <c r="NVE9" s="4"/>
      <c r="NVF9" s="4"/>
      <c r="NVG9" s="4"/>
      <c r="NVH9" s="4"/>
      <c r="NVI9" s="4"/>
      <c r="NVJ9" s="4"/>
      <c r="NVK9" s="4"/>
      <c r="NVL9" s="4"/>
      <c r="NVM9" s="4"/>
      <c r="NVN9" s="4"/>
      <c r="NVO9" s="4"/>
      <c r="NVP9" s="4"/>
      <c r="NVQ9" s="4"/>
      <c r="NVR9" s="4"/>
      <c r="NVS9" s="4"/>
      <c r="NVT9" s="4"/>
      <c r="NVU9" s="4"/>
      <c r="NVV9" s="4"/>
      <c r="NVW9" s="4"/>
      <c r="NVX9" s="4"/>
      <c r="NVY9" s="4"/>
      <c r="NVZ9" s="4"/>
      <c r="NWA9" s="4"/>
      <c r="NWB9" s="4"/>
      <c r="NWC9" s="4"/>
      <c r="NWD9" s="4"/>
      <c r="NWE9" s="4"/>
      <c r="NWF9" s="4"/>
      <c r="NWG9" s="4"/>
      <c r="NWH9" s="4"/>
      <c r="NWI9" s="4"/>
      <c r="NWJ9" s="4"/>
      <c r="NWK9" s="4"/>
      <c r="NWL9" s="4"/>
      <c r="NWM9" s="4"/>
      <c r="NWN9" s="4"/>
      <c r="NWO9" s="4"/>
      <c r="NWP9" s="4"/>
      <c r="NWQ9" s="4"/>
      <c r="NWR9" s="4"/>
      <c r="NWS9" s="4"/>
      <c r="NWT9" s="4"/>
      <c r="NWU9" s="4"/>
      <c r="NWV9" s="4"/>
      <c r="NWW9" s="4"/>
      <c r="NWX9" s="4"/>
      <c r="NWY9" s="4"/>
      <c r="NWZ9" s="4"/>
      <c r="NXA9" s="4"/>
      <c r="NXB9" s="4"/>
      <c r="NXC9" s="4"/>
      <c r="NXD9" s="4"/>
      <c r="NXE9" s="4"/>
      <c r="NXF9" s="4"/>
      <c r="NXG9" s="4"/>
      <c r="NXH9" s="4"/>
      <c r="NXI9" s="4"/>
      <c r="NXJ9" s="4"/>
      <c r="NXK9" s="4"/>
      <c r="NXL9" s="4"/>
      <c r="NXM9" s="4"/>
      <c r="NXN9" s="4"/>
      <c r="NXO9" s="4"/>
      <c r="NXP9" s="4"/>
      <c r="NXQ9" s="4"/>
      <c r="NXR9" s="4"/>
      <c r="NXS9" s="4"/>
      <c r="NXT9" s="4"/>
      <c r="NXU9" s="4"/>
      <c r="NXV9" s="4"/>
      <c r="NXW9" s="4"/>
      <c r="NXX9" s="4"/>
      <c r="NXY9" s="4"/>
      <c r="NXZ9" s="4"/>
      <c r="NYA9" s="4"/>
      <c r="NYB9" s="4"/>
      <c r="NYC9" s="4"/>
      <c r="NYD9" s="4"/>
      <c r="NYE9" s="4"/>
      <c r="NYF9" s="4"/>
      <c r="NYG9" s="4"/>
      <c r="NYH9" s="4"/>
      <c r="NYI9" s="4"/>
      <c r="NYJ9" s="4"/>
      <c r="NYK9" s="4"/>
      <c r="NYL9" s="4"/>
      <c r="NYM9" s="4"/>
      <c r="NYN9" s="4"/>
      <c r="NYO9" s="4"/>
      <c r="NYP9" s="4"/>
      <c r="NYQ9" s="4"/>
      <c r="NYR9" s="4"/>
      <c r="NYS9" s="4"/>
      <c r="NYT9" s="4"/>
      <c r="NYU9" s="4"/>
      <c r="NYV9" s="4"/>
      <c r="NYW9" s="4"/>
      <c r="NYX9" s="4"/>
      <c r="NYY9" s="4"/>
      <c r="NYZ9" s="4"/>
      <c r="NZA9" s="4"/>
      <c r="NZB9" s="4"/>
      <c r="NZC9" s="4"/>
      <c r="NZD9" s="4"/>
      <c r="NZE9" s="4"/>
      <c r="NZF9" s="4"/>
      <c r="NZG9" s="4"/>
      <c r="NZH9" s="4"/>
      <c r="NZI9" s="4"/>
      <c r="NZJ9" s="4"/>
      <c r="NZK9" s="4"/>
      <c r="NZL9" s="4"/>
      <c r="NZM9" s="4"/>
      <c r="NZN9" s="4"/>
      <c r="NZO9" s="4"/>
      <c r="NZP9" s="4"/>
      <c r="NZQ9" s="4"/>
      <c r="NZR9" s="4"/>
      <c r="NZS9" s="4"/>
      <c r="NZT9" s="4"/>
      <c r="NZU9" s="4"/>
      <c r="NZV9" s="4"/>
      <c r="NZW9" s="4"/>
      <c r="NZX9" s="4"/>
      <c r="NZY9" s="4"/>
      <c r="NZZ9" s="4"/>
      <c r="OAA9" s="4"/>
      <c r="OAB9" s="4"/>
      <c r="OAC9" s="4"/>
      <c r="OAD9" s="4"/>
      <c r="OAE9" s="4"/>
      <c r="OAF9" s="4"/>
      <c r="OAG9" s="4"/>
      <c r="OAH9" s="4"/>
      <c r="OAI9" s="4"/>
      <c r="OAJ9" s="4"/>
      <c r="OAK9" s="4"/>
      <c r="OAL9" s="4"/>
      <c r="OAM9" s="4"/>
      <c r="OAN9" s="4"/>
      <c r="OAO9" s="4"/>
      <c r="OAP9" s="4"/>
      <c r="OAQ9" s="4"/>
      <c r="OAR9" s="4"/>
      <c r="OAS9" s="4"/>
      <c r="OAT9" s="4"/>
      <c r="OAU9" s="4"/>
      <c r="OAV9" s="4"/>
      <c r="OAW9" s="4"/>
      <c r="OAX9" s="4"/>
      <c r="OAY9" s="4"/>
      <c r="OAZ9" s="4"/>
      <c r="OBA9" s="4"/>
      <c r="OBB9" s="4"/>
      <c r="OBC9" s="4"/>
      <c r="OBD9" s="4"/>
      <c r="OBE9" s="4"/>
      <c r="OBF9" s="4"/>
      <c r="OBG9" s="4"/>
      <c r="OBH9" s="4"/>
      <c r="OBI9" s="4"/>
      <c r="OBJ9" s="4"/>
      <c r="OBK9" s="4"/>
      <c r="OBL9" s="4"/>
      <c r="OBM9" s="4"/>
      <c r="OBN9" s="4"/>
      <c r="OBO9" s="4"/>
      <c r="OBP9" s="4"/>
      <c r="OBQ9" s="4"/>
      <c r="OBR9" s="4"/>
      <c r="OBS9" s="4"/>
      <c r="OBT9" s="4"/>
      <c r="OBU9" s="4"/>
      <c r="OBV9" s="4"/>
      <c r="OBW9" s="4"/>
      <c r="OBX9" s="4"/>
      <c r="OBY9" s="4"/>
      <c r="OBZ9" s="4"/>
      <c r="OCA9" s="4"/>
      <c r="OCB9" s="4"/>
      <c r="OCC9" s="4"/>
      <c r="OCD9" s="4"/>
      <c r="OCE9" s="4"/>
      <c r="OCF9" s="4"/>
      <c r="OCG9" s="4"/>
      <c r="OCH9" s="4"/>
      <c r="OCI9" s="4"/>
      <c r="OCJ9" s="4"/>
      <c r="OCK9" s="4"/>
      <c r="OCL9" s="4"/>
      <c r="OCM9" s="4"/>
      <c r="OCN9" s="4"/>
      <c r="OCO9" s="4"/>
      <c r="OCP9" s="4"/>
      <c r="OCQ9" s="4"/>
      <c r="OCR9" s="4"/>
      <c r="OCS9" s="4"/>
      <c r="OCT9" s="4"/>
      <c r="OCU9" s="4"/>
      <c r="OCV9" s="4"/>
      <c r="OCW9" s="4"/>
      <c r="OCX9" s="4"/>
      <c r="OCY9" s="4"/>
      <c r="OCZ9" s="4"/>
      <c r="ODA9" s="4"/>
      <c r="ODB9" s="4"/>
      <c r="ODC9" s="4"/>
      <c r="ODD9" s="4"/>
      <c r="ODE9" s="4"/>
      <c r="ODF9" s="4"/>
      <c r="ODG9" s="4"/>
      <c r="ODH9" s="4"/>
      <c r="ODI9" s="4"/>
      <c r="ODJ9" s="4"/>
      <c r="ODK9" s="4"/>
      <c r="ODL9" s="4"/>
      <c r="ODM9" s="4"/>
      <c r="ODN9" s="4"/>
      <c r="ODO9" s="4"/>
      <c r="ODP9" s="4"/>
      <c r="ODQ9" s="4"/>
      <c r="ODR9" s="4"/>
      <c r="ODS9" s="4"/>
      <c r="ODT9" s="4"/>
      <c r="ODU9" s="4"/>
      <c r="ODV9" s="4"/>
      <c r="ODW9" s="4"/>
      <c r="ODX9" s="4"/>
      <c r="ODY9" s="4"/>
      <c r="ODZ9" s="4"/>
      <c r="OEA9" s="4"/>
      <c r="OEB9" s="4"/>
      <c r="OEC9" s="4"/>
      <c r="OED9" s="4"/>
      <c r="OEE9" s="4"/>
      <c r="OEF9" s="4"/>
      <c r="OEG9" s="4"/>
      <c r="OEH9" s="4"/>
      <c r="OEI9" s="4"/>
      <c r="OEJ9" s="4"/>
      <c r="OEK9" s="4"/>
      <c r="OEL9" s="4"/>
      <c r="OEM9" s="4"/>
      <c r="OEN9" s="4"/>
      <c r="OEO9" s="4"/>
      <c r="OEP9" s="4"/>
      <c r="OEQ9" s="4"/>
      <c r="OER9" s="4"/>
      <c r="OES9" s="4"/>
      <c r="OET9" s="4"/>
      <c r="OEU9" s="4"/>
      <c r="OEV9" s="4"/>
      <c r="OEW9" s="4"/>
      <c r="OEX9" s="4"/>
      <c r="OEY9" s="4"/>
      <c r="OEZ9" s="4"/>
      <c r="OFA9" s="4"/>
      <c r="OFB9" s="4"/>
      <c r="OFC9" s="4"/>
      <c r="OFD9" s="4"/>
      <c r="OFE9" s="4"/>
      <c r="OFF9" s="4"/>
      <c r="OFG9" s="4"/>
      <c r="OFH9" s="4"/>
      <c r="OFI9" s="4"/>
      <c r="OFJ9" s="4"/>
      <c r="OFK9" s="4"/>
      <c r="OFL9" s="4"/>
      <c r="OFM9" s="4"/>
      <c r="OFN9" s="4"/>
      <c r="OFO9" s="4"/>
      <c r="OFP9" s="4"/>
      <c r="OFQ9" s="4"/>
      <c r="OFR9" s="4"/>
      <c r="OFS9" s="4"/>
      <c r="OFT9" s="4"/>
      <c r="OFU9" s="4"/>
      <c r="OFV9" s="4"/>
      <c r="OFW9" s="4"/>
      <c r="OFX9" s="4"/>
      <c r="OFY9" s="4"/>
      <c r="OFZ9" s="4"/>
      <c r="OGA9" s="4"/>
      <c r="OGB9" s="4"/>
      <c r="OGC9" s="4"/>
      <c r="OGD9" s="4"/>
      <c r="OGE9" s="4"/>
      <c r="OGF9" s="4"/>
      <c r="OGG9" s="4"/>
      <c r="OGH9" s="4"/>
      <c r="OGI9" s="4"/>
      <c r="OGJ9" s="4"/>
      <c r="OGK9" s="4"/>
      <c r="OGL9" s="4"/>
      <c r="OGM9" s="4"/>
      <c r="OGN9" s="4"/>
      <c r="OGO9" s="4"/>
      <c r="OGP9" s="4"/>
      <c r="OGQ9" s="4"/>
      <c r="OGR9" s="4"/>
      <c r="OGS9" s="4"/>
      <c r="OGT9" s="4"/>
      <c r="OGU9" s="4"/>
      <c r="OGV9" s="4"/>
      <c r="OGW9" s="4"/>
      <c r="OGX9" s="4"/>
      <c r="OGY9" s="4"/>
      <c r="OGZ9" s="4"/>
      <c r="OHA9" s="4"/>
      <c r="OHB9" s="4"/>
      <c r="OHC9" s="4"/>
      <c r="OHD9" s="4"/>
      <c r="OHE9" s="4"/>
      <c r="OHF9" s="4"/>
      <c r="OHG9" s="4"/>
      <c r="OHH9" s="4"/>
      <c r="OHI9" s="4"/>
      <c r="OHJ9" s="4"/>
      <c r="OHK9" s="4"/>
      <c r="OHL9" s="4"/>
      <c r="OHM9" s="4"/>
      <c r="OHN9" s="4"/>
      <c r="OHO9" s="4"/>
      <c r="OHP9" s="4"/>
      <c r="OHQ9" s="4"/>
      <c r="OHR9" s="4"/>
      <c r="OHS9" s="4"/>
      <c r="OHT9" s="4"/>
      <c r="OHU9" s="4"/>
      <c r="OHV9" s="4"/>
      <c r="OHW9" s="4"/>
      <c r="OHX9" s="4"/>
      <c r="OHY9" s="4"/>
      <c r="OHZ9" s="4"/>
      <c r="OIA9" s="4"/>
      <c r="OIB9" s="4"/>
      <c r="OIC9" s="4"/>
      <c r="OID9" s="4"/>
      <c r="OIE9" s="4"/>
      <c r="OIF9" s="4"/>
      <c r="OIG9" s="4"/>
      <c r="OIH9" s="4"/>
      <c r="OII9" s="4"/>
      <c r="OIJ9" s="4"/>
      <c r="OIK9" s="4"/>
      <c r="OIL9" s="4"/>
      <c r="OIM9" s="4"/>
      <c r="OIN9" s="4"/>
      <c r="OIO9" s="4"/>
      <c r="OIP9" s="4"/>
      <c r="OIQ9" s="4"/>
      <c r="OIR9" s="4"/>
      <c r="OIS9" s="4"/>
      <c r="OIT9" s="4"/>
      <c r="OIU9" s="4"/>
      <c r="OIV9" s="4"/>
      <c r="OIW9" s="4"/>
      <c r="OIX9" s="4"/>
      <c r="OIY9" s="4"/>
      <c r="OIZ9" s="4"/>
      <c r="OJA9" s="4"/>
      <c r="OJB9" s="4"/>
      <c r="OJC9" s="4"/>
      <c r="OJD9" s="4"/>
      <c r="OJE9" s="4"/>
      <c r="OJF9" s="4"/>
      <c r="OJG9" s="4"/>
      <c r="OJH9" s="4"/>
      <c r="OJI9" s="4"/>
      <c r="OJJ9" s="4"/>
      <c r="OJK9" s="4"/>
      <c r="OJL9" s="4"/>
      <c r="OJM9" s="4"/>
      <c r="OJN9" s="4"/>
      <c r="OJO9" s="4"/>
      <c r="OJP9" s="4"/>
      <c r="OJQ9" s="4"/>
      <c r="OJR9" s="4"/>
      <c r="OJS9" s="4"/>
      <c r="OJT9" s="4"/>
      <c r="OJU9" s="4"/>
      <c r="OJV9" s="4"/>
      <c r="OJW9" s="4"/>
      <c r="OJX9" s="4"/>
      <c r="OJY9" s="4"/>
      <c r="OJZ9" s="4"/>
      <c r="OKA9" s="4"/>
      <c r="OKB9" s="4"/>
      <c r="OKC9" s="4"/>
      <c r="OKD9" s="4"/>
      <c r="OKE9" s="4"/>
      <c r="OKF9" s="4"/>
      <c r="OKG9" s="4"/>
      <c r="OKH9" s="4"/>
      <c r="OKI9" s="4"/>
      <c r="OKJ9" s="4"/>
      <c r="OKK9" s="4"/>
      <c r="OKL9" s="4"/>
      <c r="OKM9" s="4"/>
      <c r="OKN9" s="4"/>
      <c r="OKO9" s="4"/>
      <c r="OKP9" s="4"/>
      <c r="OKQ9" s="4"/>
      <c r="OKR9" s="4"/>
      <c r="OKS9" s="4"/>
      <c r="OKT9" s="4"/>
      <c r="OKU9" s="4"/>
      <c r="OKV9" s="4"/>
      <c r="OKW9" s="4"/>
      <c r="OKX9" s="4"/>
      <c r="OKY9" s="4"/>
      <c r="OKZ9" s="4"/>
      <c r="OLA9" s="4"/>
      <c r="OLB9" s="4"/>
      <c r="OLC9" s="4"/>
      <c r="OLD9" s="4"/>
      <c r="OLE9" s="4"/>
      <c r="OLF9" s="4"/>
      <c r="OLG9" s="4"/>
      <c r="OLH9" s="4"/>
      <c r="OLI9" s="4"/>
      <c r="OLJ9" s="4"/>
      <c r="OLK9" s="4"/>
      <c r="OLL9" s="4"/>
      <c r="OLM9" s="4"/>
      <c r="OLN9" s="4"/>
      <c r="OLO9" s="4"/>
      <c r="OLP9" s="4"/>
      <c r="OLQ9" s="4"/>
      <c r="OLR9" s="4"/>
      <c r="OLS9" s="4"/>
      <c r="OLT9" s="4"/>
      <c r="OLU9" s="4"/>
      <c r="OLV9" s="4"/>
      <c r="OLW9" s="4"/>
      <c r="OLX9" s="4"/>
      <c r="OLY9" s="4"/>
      <c r="OLZ9" s="4"/>
      <c r="OMA9" s="4"/>
      <c r="OMB9" s="4"/>
      <c r="OMC9" s="4"/>
      <c r="OMD9" s="4"/>
      <c r="OME9" s="4"/>
      <c r="OMF9" s="4"/>
      <c r="OMG9" s="4"/>
      <c r="OMH9" s="4"/>
      <c r="OMI9" s="4"/>
      <c r="OMJ9" s="4"/>
      <c r="OMK9" s="4"/>
      <c r="OML9" s="4"/>
      <c r="OMM9" s="4"/>
      <c r="OMN9" s="4"/>
      <c r="OMO9" s="4"/>
      <c r="OMP9" s="4"/>
      <c r="OMQ9" s="4"/>
      <c r="OMR9" s="4"/>
      <c r="OMS9" s="4"/>
      <c r="OMT9" s="4"/>
      <c r="OMU9" s="4"/>
      <c r="OMV9" s="4"/>
      <c r="OMW9" s="4"/>
      <c r="OMX9" s="4"/>
      <c r="OMY9" s="4"/>
      <c r="OMZ9" s="4"/>
      <c r="ONA9" s="4"/>
      <c r="ONB9" s="4"/>
      <c r="ONC9" s="4"/>
      <c r="OND9" s="4"/>
      <c r="ONE9" s="4"/>
      <c r="ONF9" s="4"/>
      <c r="ONG9" s="4"/>
      <c r="ONH9" s="4"/>
      <c r="ONI9" s="4"/>
      <c r="ONJ9" s="4"/>
      <c r="ONK9" s="4"/>
      <c r="ONL9" s="4"/>
      <c r="ONM9" s="4"/>
      <c r="ONN9" s="4"/>
      <c r="ONO9" s="4"/>
      <c r="ONP9" s="4"/>
      <c r="ONQ9" s="4"/>
      <c r="ONR9" s="4"/>
      <c r="ONS9" s="4"/>
      <c r="ONT9" s="4"/>
      <c r="ONU9" s="4"/>
      <c r="ONV9" s="4"/>
      <c r="ONW9" s="4"/>
      <c r="ONX9" s="4"/>
      <c r="ONY9" s="4"/>
      <c r="ONZ9" s="4"/>
      <c r="OOA9" s="4"/>
      <c r="OOB9" s="4"/>
      <c r="OOC9" s="4"/>
      <c r="OOD9" s="4"/>
      <c r="OOE9" s="4"/>
      <c r="OOF9" s="4"/>
      <c r="OOG9" s="4"/>
      <c r="OOH9" s="4"/>
      <c r="OOI9" s="4"/>
      <c r="OOJ9" s="4"/>
      <c r="OOK9" s="4"/>
      <c r="OOL9" s="4"/>
      <c r="OOM9" s="4"/>
      <c r="OON9" s="4"/>
      <c r="OOO9" s="4"/>
      <c r="OOP9" s="4"/>
      <c r="OOQ9" s="4"/>
      <c r="OOR9" s="4"/>
      <c r="OOS9" s="4"/>
      <c r="OOT9" s="4"/>
      <c r="OOU9" s="4"/>
      <c r="OOV9" s="4"/>
      <c r="OOW9" s="4"/>
      <c r="OOX9" s="4"/>
      <c r="OOY9" s="4"/>
      <c r="OOZ9" s="4"/>
      <c r="OPA9" s="4"/>
      <c r="OPB9" s="4"/>
      <c r="OPC9" s="4"/>
      <c r="OPD9" s="4"/>
      <c r="OPE9" s="4"/>
      <c r="OPF9" s="4"/>
      <c r="OPG9" s="4"/>
      <c r="OPH9" s="4"/>
      <c r="OPI9" s="4"/>
      <c r="OPJ9" s="4"/>
      <c r="OPK9" s="4"/>
      <c r="OPL9" s="4"/>
      <c r="OPM9" s="4"/>
      <c r="OPN9" s="4"/>
      <c r="OPO9" s="4"/>
      <c r="OPP9" s="4"/>
      <c r="OPQ9" s="4"/>
      <c r="OPR9" s="4"/>
      <c r="OPS9" s="4"/>
      <c r="OPT9" s="4"/>
      <c r="OPU9" s="4"/>
      <c r="OPV9" s="4"/>
      <c r="OPW9" s="4"/>
      <c r="OPX9" s="4"/>
      <c r="OPY9" s="4"/>
      <c r="OPZ9" s="4"/>
      <c r="OQA9" s="4"/>
      <c r="OQB9" s="4"/>
      <c r="OQC9" s="4"/>
      <c r="OQD9" s="4"/>
      <c r="OQE9" s="4"/>
      <c r="OQF9" s="4"/>
      <c r="OQG9" s="4"/>
      <c r="OQH9" s="4"/>
      <c r="OQI9" s="4"/>
      <c r="OQJ9" s="4"/>
      <c r="OQK9" s="4"/>
      <c r="OQL9" s="4"/>
      <c r="OQM9" s="4"/>
      <c r="OQN9" s="4"/>
      <c r="OQO9" s="4"/>
      <c r="OQP9" s="4"/>
      <c r="OQQ9" s="4"/>
      <c r="OQR9" s="4"/>
      <c r="OQS9" s="4"/>
      <c r="OQT9" s="4"/>
      <c r="OQU9" s="4"/>
      <c r="OQV9" s="4"/>
      <c r="OQW9" s="4"/>
      <c r="OQX9" s="4"/>
      <c r="OQY9" s="4"/>
      <c r="OQZ9" s="4"/>
      <c r="ORA9" s="4"/>
      <c r="ORB9" s="4"/>
      <c r="ORC9" s="4"/>
      <c r="ORD9" s="4"/>
      <c r="ORE9" s="4"/>
      <c r="ORF9" s="4"/>
      <c r="ORG9" s="4"/>
      <c r="ORH9" s="4"/>
      <c r="ORI9" s="4"/>
      <c r="ORJ9" s="4"/>
      <c r="ORK9" s="4"/>
      <c r="ORL9" s="4"/>
      <c r="ORM9" s="4"/>
      <c r="ORN9" s="4"/>
      <c r="ORO9" s="4"/>
      <c r="ORP9" s="4"/>
      <c r="ORQ9" s="4"/>
      <c r="ORR9" s="4"/>
      <c r="ORS9" s="4"/>
      <c r="ORT9" s="4"/>
      <c r="ORU9" s="4"/>
      <c r="ORV9" s="4"/>
      <c r="ORW9" s="4"/>
      <c r="ORX9" s="4"/>
      <c r="ORY9" s="4"/>
      <c r="ORZ9" s="4"/>
      <c r="OSA9" s="4"/>
      <c r="OSB9" s="4"/>
      <c r="OSC9" s="4"/>
      <c r="OSD9" s="4"/>
      <c r="OSE9" s="4"/>
      <c r="OSF9" s="4"/>
      <c r="OSG9" s="4"/>
      <c r="OSH9" s="4"/>
      <c r="OSI9" s="4"/>
      <c r="OSJ9" s="4"/>
      <c r="OSK9" s="4"/>
      <c r="OSL9" s="4"/>
      <c r="OSM9" s="4"/>
      <c r="OSN9" s="4"/>
      <c r="OSO9" s="4"/>
      <c r="OSP9" s="4"/>
      <c r="OSQ9" s="4"/>
      <c r="OSR9" s="4"/>
      <c r="OSS9" s="4"/>
      <c r="OST9" s="4"/>
      <c r="OSU9" s="4"/>
      <c r="OSV9" s="4"/>
      <c r="OSW9" s="4"/>
      <c r="OSX9" s="4"/>
      <c r="OSY9" s="4"/>
      <c r="OSZ9" s="4"/>
      <c r="OTA9" s="4"/>
      <c r="OTB9" s="4"/>
      <c r="OTC9" s="4"/>
      <c r="OTD9" s="4"/>
      <c r="OTE9" s="4"/>
      <c r="OTF9" s="4"/>
      <c r="OTG9" s="4"/>
      <c r="OTH9" s="4"/>
      <c r="OTI9" s="4"/>
      <c r="OTJ9" s="4"/>
      <c r="OTK9" s="4"/>
      <c r="OTL9" s="4"/>
      <c r="OTM9" s="4"/>
      <c r="OTN9" s="4"/>
      <c r="OTO9" s="4"/>
      <c r="OTP9" s="4"/>
      <c r="OTQ9" s="4"/>
      <c r="OTR9" s="4"/>
      <c r="OTS9" s="4"/>
      <c r="OTT9" s="4"/>
      <c r="OTU9" s="4"/>
      <c r="OTV9" s="4"/>
      <c r="OTW9" s="4"/>
      <c r="OTX9" s="4"/>
      <c r="OTY9" s="4"/>
      <c r="OTZ9" s="4"/>
      <c r="OUA9" s="4"/>
      <c r="OUB9" s="4"/>
      <c r="OUC9" s="4"/>
      <c r="OUD9" s="4"/>
      <c r="OUE9" s="4"/>
      <c r="OUF9" s="4"/>
      <c r="OUG9" s="4"/>
      <c r="OUH9" s="4"/>
      <c r="OUI9" s="4"/>
      <c r="OUJ9" s="4"/>
      <c r="OUK9" s="4"/>
      <c r="OUL9" s="4"/>
      <c r="OUM9" s="4"/>
      <c r="OUN9" s="4"/>
      <c r="OUO9" s="4"/>
      <c r="OUP9" s="4"/>
      <c r="OUQ9" s="4"/>
      <c r="OUR9" s="4"/>
      <c r="OUS9" s="4"/>
      <c r="OUT9" s="4"/>
      <c r="OUU9" s="4"/>
      <c r="OUV9" s="4"/>
      <c r="OUW9" s="4"/>
      <c r="OUX9" s="4"/>
      <c r="OUY9" s="4"/>
      <c r="OUZ9" s="4"/>
      <c r="OVA9" s="4"/>
      <c r="OVB9" s="4"/>
      <c r="OVC9" s="4"/>
      <c r="OVD9" s="4"/>
      <c r="OVE9" s="4"/>
      <c r="OVF9" s="4"/>
      <c r="OVG9" s="4"/>
      <c r="OVH9" s="4"/>
      <c r="OVI9" s="4"/>
      <c r="OVJ9" s="4"/>
      <c r="OVK9" s="4"/>
      <c r="OVL9" s="4"/>
      <c r="OVM9" s="4"/>
      <c r="OVN9" s="4"/>
      <c r="OVO9" s="4"/>
      <c r="OVP9" s="4"/>
      <c r="OVQ9" s="4"/>
      <c r="OVR9" s="4"/>
      <c r="OVS9" s="4"/>
      <c r="OVT9" s="4"/>
      <c r="OVU9" s="4"/>
      <c r="OVV9" s="4"/>
      <c r="OVW9" s="4"/>
      <c r="OVX9" s="4"/>
      <c r="OVY9" s="4"/>
      <c r="OVZ9" s="4"/>
      <c r="OWA9" s="4"/>
      <c r="OWB9" s="4"/>
      <c r="OWC9" s="4"/>
      <c r="OWD9" s="4"/>
      <c r="OWE9" s="4"/>
      <c r="OWF9" s="4"/>
      <c r="OWG9" s="4"/>
      <c r="OWH9" s="4"/>
      <c r="OWI9" s="4"/>
      <c r="OWJ9" s="4"/>
      <c r="OWK9" s="4"/>
      <c r="OWL9" s="4"/>
      <c r="OWM9" s="4"/>
      <c r="OWN9" s="4"/>
      <c r="OWO9" s="4"/>
      <c r="OWP9" s="4"/>
      <c r="OWQ9" s="4"/>
      <c r="OWR9" s="4"/>
      <c r="OWS9" s="4"/>
      <c r="OWT9" s="4"/>
      <c r="OWU9" s="4"/>
      <c r="OWV9" s="4"/>
      <c r="OWW9" s="4"/>
      <c r="OWX9" s="4"/>
      <c r="OWY9" s="4"/>
      <c r="OWZ9" s="4"/>
      <c r="OXA9" s="4"/>
      <c r="OXB9" s="4"/>
      <c r="OXC9" s="4"/>
      <c r="OXD9" s="4"/>
      <c r="OXE9" s="4"/>
      <c r="OXF9" s="4"/>
      <c r="OXG9" s="4"/>
      <c r="OXH9" s="4"/>
      <c r="OXI9" s="4"/>
      <c r="OXJ9" s="4"/>
      <c r="OXK9" s="4"/>
      <c r="OXL9" s="4"/>
      <c r="OXM9" s="4"/>
      <c r="OXN9" s="4"/>
      <c r="OXO9" s="4"/>
      <c r="OXP9" s="4"/>
      <c r="OXQ9" s="4"/>
      <c r="OXR9" s="4"/>
      <c r="OXS9" s="4"/>
      <c r="OXT9" s="4"/>
      <c r="OXU9" s="4"/>
      <c r="OXV9" s="4"/>
      <c r="OXW9" s="4"/>
      <c r="OXX9" s="4"/>
      <c r="OXY9" s="4"/>
      <c r="OXZ9" s="4"/>
      <c r="OYA9" s="4"/>
      <c r="OYB9" s="4"/>
      <c r="OYC9" s="4"/>
      <c r="OYD9" s="4"/>
      <c r="OYE9" s="4"/>
      <c r="OYF9" s="4"/>
      <c r="OYG9" s="4"/>
      <c r="OYH9" s="4"/>
      <c r="OYI9" s="4"/>
      <c r="OYJ9" s="4"/>
      <c r="OYK9" s="4"/>
      <c r="OYL9" s="4"/>
      <c r="OYM9" s="4"/>
      <c r="OYN9" s="4"/>
      <c r="OYO9" s="4"/>
      <c r="OYP9" s="4"/>
      <c r="OYQ9" s="4"/>
      <c r="OYR9" s="4"/>
      <c r="OYS9" s="4"/>
      <c r="OYT9" s="4"/>
      <c r="OYU9" s="4"/>
      <c r="OYV9" s="4"/>
      <c r="OYW9" s="4"/>
      <c r="OYX9" s="4"/>
      <c r="OYY9" s="4"/>
      <c r="OYZ9" s="4"/>
      <c r="OZA9" s="4"/>
      <c r="OZB9" s="4"/>
      <c r="OZC9" s="4"/>
      <c r="OZD9" s="4"/>
      <c r="OZE9" s="4"/>
      <c r="OZF9" s="4"/>
      <c r="OZG9" s="4"/>
      <c r="OZH9" s="4"/>
      <c r="OZI9" s="4"/>
      <c r="OZJ9" s="4"/>
      <c r="OZK9" s="4"/>
      <c r="OZL9" s="4"/>
      <c r="OZM9" s="4"/>
      <c r="OZN9" s="4"/>
      <c r="OZO9" s="4"/>
      <c r="OZP9" s="4"/>
      <c r="OZQ9" s="4"/>
      <c r="OZR9" s="4"/>
      <c r="OZS9" s="4"/>
      <c r="OZT9" s="4"/>
      <c r="OZU9" s="4"/>
      <c r="OZV9" s="4"/>
      <c r="OZW9" s="4"/>
      <c r="OZX9" s="4"/>
      <c r="OZY9" s="4"/>
      <c r="OZZ9" s="4"/>
      <c r="PAA9" s="4"/>
      <c r="PAB9" s="4"/>
      <c r="PAC9" s="4"/>
      <c r="PAD9" s="4"/>
      <c r="PAE9" s="4"/>
      <c r="PAF9" s="4"/>
      <c r="PAG9" s="4"/>
      <c r="PAH9" s="4"/>
      <c r="PAI9" s="4"/>
      <c r="PAJ9" s="4"/>
      <c r="PAK9" s="4"/>
      <c r="PAL9" s="4"/>
      <c r="PAM9" s="4"/>
      <c r="PAN9" s="4"/>
      <c r="PAO9" s="4"/>
      <c r="PAP9" s="4"/>
      <c r="PAQ9" s="4"/>
      <c r="PAR9" s="4"/>
      <c r="PAS9" s="4"/>
      <c r="PAT9" s="4"/>
      <c r="PAU9" s="4"/>
      <c r="PAV9" s="4"/>
      <c r="PAW9" s="4"/>
      <c r="PAX9" s="4"/>
      <c r="PAY9" s="4"/>
      <c r="PAZ9" s="4"/>
      <c r="PBA9" s="4"/>
      <c r="PBB9" s="4"/>
      <c r="PBC9" s="4"/>
      <c r="PBD9" s="4"/>
      <c r="PBE9" s="4"/>
      <c r="PBF9" s="4"/>
      <c r="PBG9" s="4"/>
      <c r="PBH9" s="4"/>
      <c r="PBI9" s="4"/>
      <c r="PBJ9" s="4"/>
      <c r="PBK9" s="4"/>
      <c r="PBL9" s="4"/>
      <c r="PBM9" s="4"/>
      <c r="PBN9" s="4"/>
      <c r="PBO9" s="4"/>
      <c r="PBP9" s="4"/>
      <c r="PBQ9" s="4"/>
      <c r="PBR9" s="4"/>
      <c r="PBS9" s="4"/>
      <c r="PBT9" s="4"/>
      <c r="PBU9" s="4"/>
      <c r="PBV9" s="4"/>
      <c r="PBW9" s="4"/>
      <c r="PBX9" s="4"/>
      <c r="PBY9" s="4"/>
      <c r="PBZ9" s="4"/>
      <c r="PCA9" s="4"/>
      <c r="PCB9" s="4"/>
      <c r="PCC9" s="4"/>
      <c r="PCD9" s="4"/>
      <c r="PCE9" s="4"/>
      <c r="PCF9" s="4"/>
      <c r="PCG9" s="4"/>
      <c r="PCH9" s="4"/>
      <c r="PCI9" s="4"/>
      <c r="PCJ9" s="4"/>
      <c r="PCK9" s="4"/>
      <c r="PCL9" s="4"/>
      <c r="PCM9" s="4"/>
      <c r="PCN9" s="4"/>
      <c r="PCO9" s="4"/>
      <c r="PCP9" s="4"/>
      <c r="PCQ9" s="4"/>
      <c r="PCR9" s="4"/>
      <c r="PCS9" s="4"/>
      <c r="PCT9" s="4"/>
      <c r="PCU9" s="4"/>
      <c r="PCV9" s="4"/>
      <c r="PCW9" s="4"/>
      <c r="PCX9" s="4"/>
      <c r="PCY9" s="4"/>
      <c r="PCZ9" s="4"/>
      <c r="PDA9" s="4"/>
      <c r="PDB9" s="4"/>
      <c r="PDC9" s="4"/>
      <c r="PDD9" s="4"/>
      <c r="PDE9" s="4"/>
      <c r="PDF9" s="4"/>
      <c r="PDG9" s="4"/>
      <c r="PDH9" s="4"/>
      <c r="PDI9" s="4"/>
      <c r="PDJ9" s="4"/>
      <c r="PDK9" s="4"/>
      <c r="PDL9" s="4"/>
      <c r="PDM9" s="4"/>
      <c r="PDN9" s="4"/>
      <c r="PDO9" s="4"/>
      <c r="PDP9" s="4"/>
      <c r="PDQ9" s="4"/>
      <c r="PDR9" s="4"/>
      <c r="PDS9" s="4"/>
      <c r="PDT9" s="4"/>
      <c r="PDU9" s="4"/>
      <c r="PDV9" s="4"/>
      <c r="PDW9" s="4"/>
      <c r="PDX9" s="4"/>
      <c r="PDY9" s="4"/>
      <c r="PDZ9" s="4"/>
      <c r="PEA9" s="4"/>
      <c r="PEB9" s="4"/>
      <c r="PEC9" s="4"/>
      <c r="PED9" s="4"/>
      <c r="PEE9" s="4"/>
      <c r="PEF9" s="4"/>
      <c r="PEG9" s="4"/>
      <c r="PEH9" s="4"/>
      <c r="PEI9" s="4"/>
      <c r="PEJ9" s="4"/>
      <c r="PEK9" s="4"/>
      <c r="PEL9" s="4"/>
      <c r="PEM9" s="4"/>
      <c r="PEN9" s="4"/>
      <c r="PEO9" s="4"/>
      <c r="PEP9" s="4"/>
      <c r="PEQ9" s="4"/>
      <c r="PER9" s="4"/>
      <c r="PES9" s="4"/>
      <c r="PET9" s="4"/>
      <c r="PEU9" s="4"/>
      <c r="PEV9" s="4"/>
      <c r="PEW9" s="4"/>
      <c r="PEX9" s="4"/>
      <c r="PEY9" s="4"/>
      <c r="PEZ9" s="4"/>
      <c r="PFA9" s="4"/>
      <c r="PFB9" s="4"/>
      <c r="PFC9" s="4"/>
      <c r="PFD9" s="4"/>
      <c r="PFE9" s="4"/>
      <c r="PFF9" s="4"/>
      <c r="PFG9" s="4"/>
      <c r="PFH9" s="4"/>
      <c r="PFI9" s="4"/>
      <c r="PFJ9" s="4"/>
      <c r="PFK9" s="4"/>
      <c r="PFL9" s="4"/>
      <c r="PFM9" s="4"/>
      <c r="PFN9" s="4"/>
      <c r="PFO9" s="4"/>
      <c r="PFP9" s="4"/>
      <c r="PFQ9" s="4"/>
      <c r="PFR9" s="4"/>
      <c r="PFS9" s="4"/>
      <c r="PFT9" s="4"/>
      <c r="PFU9" s="4"/>
      <c r="PFV9" s="4"/>
      <c r="PFW9" s="4"/>
      <c r="PFX9" s="4"/>
      <c r="PFY9" s="4"/>
      <c r="PFZ9" s="4"/>
      <c r="PGA9" s="4"/>
      <c r="PGB9" s="4"/>
      <c r="PGC9" s="4"/>
      <c r="PGD9" s="4"/>
      <c r="PGE9" s="4"/>
      <c r="PGF9" s="4"/>
      <c r="PGG9" s="4"/>
      <c r="PGH9" s="4"/>
      <c r="PGI9" s="4"/>
      <c r="PGJ9" s="4"/>
      <c r="PGK9" s="4"/>
      <c r="PGL9" s="4"/>
      <c r="PGM9" s="4"/>
      <c r="PGN9" s="4"/>
      <c r="PGO9" s="4"/>
      <c r="PGP9" s="4"/>
      <c r="PGQ9" s="4"/>
      <c r="PGR9" s="4"/>
      <c r="PGS9" s="4"/>
      <c r="PGT9" s="4"/>
      <c r="PGU9" s="4"/>
      <c r="PGV9" s="4"/>
      <c r="PGW9" s="4"/>
      <c r="PGX9" s="4"/>
      <c r="PGY9" s="4"/>
      <c r="PGZ9" s="4"/>
      <c r="PHA9" s="4"/>
      <c r="PHB9" s="4"/>
      <c r="PHC9" s="4"/>
      <c r="PHD9" s="4"/>
      <c r="PHE9" s="4"/>
      <c r="PHF9" s="4"/>
      <c r="PHG9" s="4"/>
      <c r="PHH9" s="4"/>
      <c r="PHI9" s="4"/>
      <c r="PHJ9" s="4"/>
      <c r="PHK9" s="4"/>
      <c r="PHL9" s="4"/>
      <c r="PHM9" s="4"/>
      <c r="PHN9" s="4"/>
      <c r="PHO9" s="4"/>
      <c r="PHP9" s="4"/>
      <c r="PHQ9" s="4"/>
      <c r="PHR9" s="4"/>
      <c r="PHS9" s="4"/>
      <c r="PHT9" s="4"/>
      <c r="PHU9" s="4"/>
      <c r="PHV9" s="4"/>
      <c r="PHW9" s="4"/>
      <c r="PHX9" s="4"/>
      <c r="PHY9" s="4"/>
      <c r="PHZ9" s="4"/>
      <c r="PIA9" s="4"/>
      <c r="PIB9" s="4"/>
      <c r="PIC9" s="4"/>
      <c r="PID9" s="4"/>
      <c r="PIE9" s="4"/>
      <c r="PIF9" s="4"/>
      <c r="PIG9" s="4"/>
      <c r="PIH9" s="4"/>
      <c r="PII9" s="4"/>
      <c r="PIJ9" s="4"/>
      <c r="PIK9" s="4"/>
      <c r="PIL9" s="4"/>
      <c r="PIM9" s="4"/>
      <c r="PIN9" s="4"/>
      <c r="PIO9" s="4"/>
      <c r="PIP9" s="4"/>
      <c r="PIQ9" s="4"/>
      <c r="PIR9" s="4"/>
      <c r="PIS9" s="4"/>
      <c r="PIT9" s="4"/>
      <c r="PIU9" s="4"/>
      <c r="PIV9" s="4"/>
      <c r="PIW9" s="4"/>
      <c r="PIX9" s="4"/>
      <c r="PIY9" s="4"/>
      <c r="PIZ9" s="4"/>
      <c r="PJA9" s="4"/>
      <c r="PJB9" s="4"/>
      <c r="PJC9" s="4"/>
      <c r="PJD9" s="4"/>
      <c r="PJE9" s="4"/>
      <c r="PJF9" s="4"/>
      <c r="PJG9" s="4"/>
      <c r="PJH9" s="4"/>
      <c r="PJI9" s="4"/>
      <c r="PJJ9" s="4"/>
      <c r="PJK9" s="4"/>
      <c r="PJL9" s="4"/>
      <c r="PJM9" s="4"/>
      <c r="PJN9" s="4"/>
      <c r="PJO9" s="4"/>
      <c r="PJP9" s="4"/>
      <c r="PJQ9" s="4"/>
      <c r="PJR9" s="4"/>
      <c r="PJS9" s="4"/>
      <c r="PJT9" s="4"/>
      <c r="PJU9" s="4"/>
      <c r="PJV9" s="4"/>
      <c r="PJW9" s="4"/>
      <c r="PJX9" s="4"/>
      <c r="PJY9" s="4"/>
      <c r="PJZ9" s="4"/>
      <c r="PKA9" s="4"/>
      <c r="PKB9" s="4"/>
      <c r="PKC9" s="4"/>
      <c r="PKD9" s="4"/>
      <c r="PKE9" s="4"/>
      <c r="PKF9" s="4"/>
      <c r="PKG9" s="4"/>
      <c r="PKH9" s="4"/>
      <c r="PKI9" s="4"/>
      <c r="PKJ9" s="4"/>
      <c r="PKK9" s="4"/>
      <c r="PKL9" s="4"/>
      <c r="PKM9" s="4"/>
      <c r="PKN9" s="4"/>
      <c r="PKO9" s="4"/>
      <c r="PKP9" s="4"/>
      <c r="PKQ9" s="4"/>
      <c r="PKR9" s="4"/>
      <c r="PKS9" s="4"/>
      <c r="PKT9" s="4"/>
      <c r="PKU9" s="4"/>
      <c r="PKV9" s="4"/>
      <c r="PKW9" s="4"/>
      <c r="PKX9" s="4"/>
      <c r="PKY9" s="4"/>
      <c r="PKZ9" s="4"/>
      <c r="PLA9" s="4"/>
      <c r="PLB9" s="4"/>
      <c r="PLC9" s="4"/>
      <c r="PLD9" s="4"/>
      <c r="PLE9" s="4"/>
      <c r="PLF9" s="4"/>
      <c r="PLG9" s="4"/>
      <c r="PLH9" s="4"/>
      <c r="PLI9" s="4"/>
      <c r="PLJ9" s="4"/>
      <c r="PLK9" s="4"/>
      <c r="PLL9" s="4"/>
      <c r="PLM9" s="4"/>
      <c r="PLN9" s="4"/>
      <c r="PLO9" s="4"/>
      <c r="PLP9" s="4"/>
      <c r="PLQ9" s="4"/>
      <c r="PLR9" s="4"/>
      <c r="PLS9" s="4"/>
      <c r="PLT9" s="4"/>
      <c r="PLU9" s="4"/>
      <c r="PLV9" s="4"/>
      <c r="PLW9" s="4"/>
      <c r="PLX9" s="4"/>
      <c r="PLY9" s="4"/>
      <c r="PLZ9" s="4"/>
      <c r="PMA9" s="4"/>
      <c r="PMB9" s="4"/>
      <c r="PMC9" s="4"/>
      <c r="PMD9" s="4"/>
      <c r="PME9" s="4"/>
      <c r="PMF9" s="4"/>
      <c r="PMG9" s="4"/>
      <c r="PMH9" s="4"/>
      <c r="PMI9" s="4"/>
      <c r="PMJ9" s="4"/>
      <c r="PMK9" s="4"/>
      <c r="PML9" s="4"/>
      <c r="PMM9" s="4"/>
      <c r="PMN9" s="4"/>
      <c r="PMO9" s="4"/>
      <c r="PMP9" s="4"/>
      <c r="PMQ9" s="4"/>
      <c r="PMR9" s="4"/>
      <c r="PMS9" s="4"/>
      <c r="PMT9" s="4"/>
      <c r="PMU9" s="4"/>
      <c r="PMV9" s="4"/>
      <c r="PMW9" s="4"/>
      <c r="PMX9" s="4"/>
      <c r="PMY9" s="4"/>
      <c r="PMZ9" s="4"/>
      <c r="PNA9" s="4"/>
      <c r="PNB9" s="4"/>
      <c r="PNC9" s="4"/>
      <c r="PND9" s="4"/>
      <c r="PNE9" s="4"/>
      <c r="PNF9" s="4"/>
      <c r="PNG9" s="4"/>
      <c r="PNH9" s="4"/>
      <c r="PNI9" s="4"/>
      <c r="PNJ9" s="4"/>
      <c r="PNK9" s="4"/>
      <c r="PNL9" s="4"/>
      <c r="PNM9" s="4"/>
      <c r="PNN9" s="4"/>
      <c r="PNO9" s="4"/>
      <c r="PNP9" s="4"/>
      <c r="PNQ9" s="4"/>
      <c r="PNR9" s="4"/>
      <c r="PNS9" s="4"/>
      <c r="PNT9" s="4"/>
      <c r="PNU9" s="4"/>
      <c r="PNV9" s="4"/>
      <c r="PNW9" s="4"/>
      <c r="PNX9" s="4"/>
      <c r="PNY9" s="4"/>
      <c r="PNZ9" s="4"/>
      <c r="POA9" s="4"/>
      <c r="POB9" s="4"/>
      <c r="POC9" s="4"/>
      <c r="POD9" s="4"/>
      <c r="POE9" s="4"/>
      <c r="POF9" s="4"/>
      <c r="POG9" s="4"/>
      <c r="POH9" s="4"/>
      <c r="POI9" s="4"/>
      <c r="POJ9" s="4"/>
      <c r="POK9" s="4"/>
      <c r="POL9" s="4"/>
      <c r="POM9" s="4"/>
      <c r="PON9" s="4"/>
      <c r="POO9" s="4"/>
      <c r="POP9" s="4"/>
      <c r="POQ9" s="4"/>
      <c r="POR9" s="4"/>
      <c r="POS9" s="4"/>
      <c r="POT9" s="4"/>
      <c r="POU9" s="4"/>
      <c r="POV9" s="4"/>
      <c r="POW9" s="4"/>
      <c r="POX9" s="4"/>
      <c r="POY9" s="4"/>
      <c r="POZ9" s="4"/>
      <c r="PPA9" s="4"/>
      <c r="PPB9" s="4"/>
      <c r="PPC9" s="4"/>
      <c r="PPD9" s="4"/>
      <c r="PPE9" s="4"/>
      <c r="PPF9" s="4"/>
      <c r="PPG9" s="4"/>
      <c r="PPH9" s="4"/>
      <c r="PPI9" s="4"/>
      <c r="PPJ9" s="4"/>
      <c r="PPK9" s="4"/>
      <c r="PPL9" s="4"/>
      <c r="PPM9" s="4"/>
      <c r="PPN9" s="4"/>
      <c r="PPO9" s="4"/>
      <c r="PPP9" s="4"/>
      <c r="PPQ9" s="4"/>
      <c r="PPR9" s="4"/>
      <c r="PPS9" s="4"/>
      <c r="PPT9" s="4"/>
      <c r="PPU9" s="4"/>
      <c r="PPV9" s="4"/>
      <c r="PPW9" s="4"/>
      <c r="PPX9" s="4"/>
      <c r="PPY9" s="4"/>
      <c r="PPZ9" s="4"/>
      <c r="PQA9" s="4"/>
      <c r="PQB9" s="4"/>
      <c r="PQC9" s="4"/>
      <c r="PQD9" s="4"/>
      <c r="PQE9" s="4"/>
      <c r="PQF9" s="4"/>
      <c r="PQG9" s="4"/>
      <c r="PQH9" s="4"/>
      <c r="PQI9" s="4"/>
      <c r="PQJ9" s="4"/>
      <c r="PQK9" s="4"/>
      <c r="PQL9" s="4"/>
      <c r="PQM9" s="4"/>
      <c r="PQN9" s="4"/>
      <c r="PQO9" s="4"/>
      <c r="PQP9" s="4"/>
      <c r="PQQ9" s="4"/>
      <c r="PQR9" s="4"/>
      <c r="PQS9" s="4"/>
      <c r="PQT9" s="4"/>
      <c r="PQU9" s="4"/>
      <c r="PQV9" s="4"/>
      <c r="PQW9" s="4"/>
      <c r="PQX9" s="4"/>
      <c r="PQY9" s="4"/>
      <c r="PQZ9" s="4"/>
      <c r="PRA9" s="4"/>
      <c r="PRB9" s="4"/>
      <c r="PRC9" s="4"/>
      <c r="PRD9" s="4"/>
      <c r="PRE9" s="4"/>
      <c r="PRF9" s="4"/>
      <c r="PRG9" s="4"/>
      <c r="PRH9" s="4"/>
      <c r="PRI9" s="4"/>
      <c r="PRJ9" s="4"/>
      <c r="PRK9" s="4"/>
      <c r="PRL9" s="4"/>
      <c r="PRM9" s="4"/>
      <c r="PRN9" s="4"/>
      <c r="PRO9" s="4"/>
      <c r="PRP9" s="4"/>
      <c r="PRQ9" s="4"/>
      <c r="PRR9" s="4"/>
      <c r="PRS9" s="4"/>
      <c r="PRT9" s="4"/>
      <c r="PRU9" s="4"/>
      <c r="PRV9" s="4"/>
      <c r="PRW9" s="4"/>
      <c r="PRX9" s="4"/>
      <c r="PRY9" s="4"/>
      <c r="PRZ9" s="4"/>
      <c r="PSA9" s="4"/>
      <c r="PSB9" s="4"/>
      <c r="PSC9" s="4"/>
      <c r="PSD9" s="4"/>
      <c r="PSE9" s="4"/>
      <c r="PSF9" s="4"/>
      <c r="PSG9" s="4"/>
      <c r="PSH9" s="4"/>
      <c r="PSI9" s="4"/>
      <c r="PSJ9" s="4"/>
      <c r="PSK9" s="4"/>
      <c r="PSL9" s="4"/>
      <c r="PSM9" s="4"/>
      <c r="PSN9" s="4"/>
      <c r="PSO9" s="4"/>
      <c r="PSP9" s="4"/>
      <c r="PSQ9" s="4"/>
      <c r="PSR9" s="4"/>
      <c r="PSS9" s="4"/>
      <c r="PST9" s="4"/>
      <c r="PSU9" s="4"/>
      <c r="PSV9" s="4"/>
      <c r="PSW9" s="4"/>
      <c r="PSX9" s="4"/>
      <c r="PSY9" s="4"/>
      <c r="PSZ9" s="4"/>
      <c r="PTA9" s="4"/>
      <c r="PTB9" s="4"/>
      <c r="PTC9" s="4"/>
      <c r="PTD9" s="4"/>
      <c r="PTE9" s="4"/>
      <c r="PTF9" s="4"/>
      <c r="PTG9" s="4"/>
      <c r="PTH9" s="4"/>
      <c r="PTI9" s="4"/>
      <c r="PTJ9" s="4"/>
      <c r="PTK9" s="4"/>
      <c r="PTL9" s="4"/>
      <c r="PTM9" s="4"/>
      <c r="PTN9" s="4"/>
      <c r="PTO9" s="4"/>
      <c r="PTP9" s="4"/>
      <c r="PTQ9" s="4"/>
      <c r="PTR9" s="4"/>
      <c r="PTS9" s="4"/>
      <c r="PTT9" s="4"/>
      <c r="PTU9" s="4"/>
      <c r="PTV9" s="4"/>
      <c r="PTW9" s="4"/>
      <c r="PTX9" s="4"/>
      <c r="PTY9" s="4"/>
      <c r="PTZ9" s="4"/>
      <c r="PUA9" s="4"/>
      <c r="PUB9" s="4"/>
      <c r="PUC9" s="4"/>
      <c r="PUD9" s="4"/>
      <c r="PUE9" s="4"/>
      <c r="PUF9" s="4"/>
      <c r="PUG9" s="4"/>
      <c r="PUH9" s="4"/>
      <c r="PUI9" s="4"/>
      <c r="PUJ9" s="4"/>
      <c r="PUK9" s="4"/>
      <c r="PUL9" s="4"/>
      <c r="PUM9" s="4"/>
      <c r="PUN9" s="4"/>
      <c r="PUO9" s="4"/>
      <c r="PUP9" s="4"/>
      <c r="PUQ9" s="4"/>
      <c r="PUR9" s="4"/>
      <c r="PUS9" s="4"/>
      <c r="PUT9" s="4"/>
      <c r="PUU9" s="4"/>
      <c r="PUV9" s="4"/>
      <c r="PUW9" s="4"/>
      <c r="PUX9" s="4"/>
      <c r="PUY9" s="4"/>
      <c r="PUZ9" s="4"/>
      <c r="PVA9" s="4"/>
      <c r="PVB9" s="4"/>
      <c r="PVC9" s="4"/>
      <c r="PVD9" s="4"/>
      <c r="PVE9" s="4"/>
      <c r="PVF9" s="4"/>
      <c r="PVG9" s="4"/>
      <c r="PVH9" s="4"/>
      <c r="PVI9" s="4"/>
      <c r="PVJ9" s="4"/>
      <c r="PVK9" s="4"/>
      <c r="PVL9" s="4"/>
      <c r="PVM9" s="4"/>
      <c r="PVN9" s="4"/>
      <c r="PVO9" s="4"/>
      <c r="PVP9" s="4"/>
      <c r="PVQ9" s="4"/>
      <c r="PVR9" s="4"/>
      <c r="PVS9" s="4"/>
      <c r="PVT9" s="4"/>
      <c r="PVU9" s="4"/>
      <c r="PVV9" s="4"/>
      <c r="PVW9" s="4"/>
      <c r="PVX9" s="4"/>
      <c r="PVY9" s="4"/>
      <c r="PVZ9" s="4"/>
      <c r="PWA9" s="4"/>
      <c r="PWB9" s="4"/>
      <c r="PWC9" s="4"/>
      <c r="PWD9" s="4"/>
      <c r="PWE9" s="4"/>
      <c r="PWF9" s="4"/>
      <c r="PWG9" s="4"/>
      <c r="PWH9" s="4"/>
      <c r="PWI9" s="4"/>
      <c r="PWJ9" s="4"/>
      <c r="PWK9" s="4"/>
      <c r="PWL9" s="4"/>
      <c r="PWM9" s="4"/>
      <c r="PWN9" s="4"/>
      <c r="PWO9" s="4"/>
      <c r="PWP9" s="4"/>
      <c r="PWQ9" s="4"/>
      <c r="PWR9" s="4"/>
      <c r="PWS9" s="4"/>
      <c r="PWT9" s="4"/>
      <c r="PWU9" s="4"/>
      <c r="PWV9" s="4"/>
      <c r="PWW9" s="4"/>
      <c r="PWX9" s="4"/>
      <c r="PWY9" s="4"/>
      <c r="PWZ9" s="4"/>
      <c r="PXA9" s="4"/>
      <c r="PXB9" s="4"/>
      <c r="PXC9" s="4"/>
      <c r="PXD9" s="4"/>
      <c r="PXE9" s="4"/>
      <c r="PXF9" s="4"/>
      <c r="PXG9" s="4"/>
      <c r="PXH9" s="4"/>
      <c r="PXI9" s="4"/>
      <c r="PXJ9" s="4"/>
      <c r="PXK9" s="4"/>
      <c r="PXL9" s="4"/>
      <c r="PXM9" s="4"/>
      <c r="PXN9" s="4"/>
      <c r="PXO9" s="4"/>
      <c r="PXP9" s="4"/>
      <c r="PXQ9" s="4"/>
      <c r="PXR9" s="4"/>
      <c r="PXS9" s="4"/>
      <c r="PXT9" s="4"/>
      <c r="PXU9" s="4"/>
      <c r="PXV9" s="4"/>
      <c r="PXW9" s="4"/>
      <c r="PXX9" s="4"/>
      <c r="PXY9" s="4"/>
      <c r="PXZ9" s="4"/>
      <c r="PYA9" s="4"/>
      <c r="PYB9" s="4"/>
      <c r="PYC9" s="4"/>
      <c r="PYD9" s="4"/>
      <c r="PYE9" s="4"/>
      <c r="PYF9" s="4"/>
      <c r="PYG9" s="4"/>
      <c r="PYH9" s="4"/>
      <c r="PYI9" s="4"/>
      <c r="PYJ9" s="4"/>
      <c r="PYK9" s="4"/>
      <c r="PYL9" s="4"/>
      <c r="PYM9" s="4"/>
      <c r="PYN9" s="4"/>
      <c r="PYO9" s="4"/>
      <c r="PYP9" s="4"/>
      <c r="PYQ9" s="4"/>
      <c r="PYR9" s="4"/>
      <c r="PYS9" s="4"/>
      <c r="PYT9" s="4"/>
      <c r="PYU9" s="4"/>
      <c r="PYV9" s="4"/>
      <c r="PYW9" s="4"/>
      <c r="PYX9" s="4"/>
      <c r="PYY9" s="4"/>
      <c r="PYZ9" s="4"/>
      <c r="PZA9" s="4"/>
      <c r="PZB9" s="4"/>
      <c r="PZC9" s="4"/>
      <c r="PZD9" s="4"/>
      <c r="PZE9" s="4"/>
      <c r="PZF9" s="4"/>
      <c r="PZG9" s="4"/>
      <c r="PZH9" s="4"/>
      <c r="PZI9" s="4"/>
      <c r="PZJ9" s="4"/>
      <c r="PZK9" s="4"/>
      <c r="PZL9" s="4"/>
      <c r="PZM9" s="4"/>
      <c r="PZN9" s="4"/>
      <c r="PZO9" s="4"/>
      <c r="PZP9" s="4"/>
      <c r="PZQ9" s="4"/>
      <c r="PZR9" s="4"/>
      <c r="PZS9" s="4"/>
      <c r="PZT9" s="4"/>
      <c r="PZU9" s="4"/>
      <c r="PZV9" s="4"/>
      <c r="PZW9" s="4"/>
      <c r="PZX9" s="4"/>
      <c r="PZY9" s="4"/>
      <c r="PZZ9" s="4"/>
      <c r="QAA9" s="4"/>
      <c r="QAB9" s="4"/>
      <c r="QAC9" s="4"/>
      <c r="QAD9" s="4"/>
      <c r="QAE9" s="4"/>
      <c r="QAF9" s="4"/>
      <c r="QAG9" s="4"/>
      <c r="QAH9" s="4"/>
      <c r="QAI9" s="4"/>
      <c r="QAJ9" s="4"/>
      <c r="QAK9" s="4"/>
      <c r="QAL9" s="4"/>
      <c r="QAM9" s="4"/>
      <c r="QAN9" s="4"/>
      <c r="QAO9" s="4"/>
      <c r="QAP9" s="4"/>
      <c r="QAQ9" s="4"/>
      <c r="QAR9" s="4"/>
      <c r="QAS9" s="4"/>
      <c r="QAT9" s="4"/>
      <c r="QAU9" s="4"/>
      <c r="QAV9" s="4"/>
      <c r="QAW9" s="4"/>
      <c r="QAX9" s="4"/>
      <c r="QAY9" s="4"/>
      <c r="QAZ9" s="4"/>
      <c r="QBA9" s="4"/>
      <c r="QBB9" s="4"/>
      <c r="QBC9" s="4"/>
      <c r="QBD9" s="4"/>
      <c r="QBE9" s="4"/>
      <c r="QBF9" s="4"/>
      <c r="QBG9" s="4"/>
      <c r="QBH9" s="4"/>
      <c r="QBI9" s="4"/>
      <c r="QBJ9" s="4"/>
      <c r="QBK9" s="4"/>
      <c r="QBL9" s="4"/>
      <c r="QBM9" s="4"/>
      <c r="QBN9" s="4"/>
      <c r="QBO9" s="4"/>
      <c r="QBP9" s="4"/>
      <c r="QBQ9" s="4"/>
      <c r="QBR9" s="4"/>
      <c r="QBS9" s="4"/>
      <c r="QBT9" s="4"/>
      <c r="QBU9" s="4"/>
      <c r="QBV9" s="4"/>
      <c r="QBW9" s="4"/>
      <c r="QBX9" s="4"/>
      <c r="QBY9" s="4"/>
      <c r="QBZ9" s="4"/>
      <c r="QCA9" s="4"/>
      <c r="QCB9" s="4"/>
      <c r="QCC9" s="4"/>
      <c r="QCD9" s="4"/>
      <c r="QCE9" s="4"/>
      <c r="QCF9" s="4"/>
      <c r="QCG9" s="4"/>
      <c r="QCH9" s="4"/>
      <c r="QCI9" s="4"/>
      <c r="QCJ9" s="4"/>
      <c r="QCK9" s="4"/>
      <c r="QCL9" s="4"/>
      <c r="QCM9" s="4"/>
      <c r="QCN9" s="4"/>
      <c r="QCO9" s="4"/>
      <c r="QCP9" s="4"/>
      <c r="QCQ9" s="4"/>
      <c r="QCR9" s="4"/>
      <c r="QCS9" s="4"/>
      <c r="QCT9" s="4"/>
      <c r="QCU9" s="4"/>
      <c r="QCV9" s="4"/>
      <c r="QCW9" s="4"/>
      <c r="QCX9" s="4"/>
      <c r="QCY9" s="4"/>
      <c r="QCZ9" s="4"/>
      <c r="QDA9" s="4"/>
      <c r="QDB9" s="4"/>
      <c r="QDC9" s="4"/>
      <c r="QDD9" s="4"/>
      <c r="QDE9" s="4"/>
      <c r="QDF9" s="4"/>
      <c r="QDG9" s="4"/>
      <c r="QDH9" s="4"/>
      <c r="QDI9" s="4"/>
      <c r="QDJ9" s="4"/>
      <c r="QDK9" s="4"/>
      <c r="QDL9" s="4"/>
      <c r="QDM9" s="4"/>
      <c r="QDN9" s="4"/>
      <c r="QDO9" s="4"/>
      <c r="QDP9" s="4"/>
      <c r="QDQ9" s="4"/>
      <c r="QDR9" s="4"/>
      <c r="QDS9" s="4"/>
      <c r="QDT9" s="4"/>
      <c r="QDU9" s="4"/>
      <c r="QDV9" s="4"/>
      <c r="QDW9" s="4"/>
      <c r="QDX9" s="4"/>
      <c r="QDY9" s="4"/>
      <c r="QDZ9" s="4"/>
      <c r="QEA9" s="4"/>
      <c r="QEB9" s="4"/>
      <c r="QEC9" s="4"/>
      <c r="QED9" s="4"/>
      <c r="QEE9" s="4"/>
      <c r="QEF9" s="4"/>
      <c r="QEG9" s="4"/>
      <c r="QEH9" s="4"/>
      <c r="QEI9" s="4"/>
      <c r="QEJ9" s="4"/>
      <c r="QEK9" s="4"/>
      <c r="QEL9" s="4"/>
      <c r="QEM9" s="4"/>
      <c r="QEN9" s="4"/>
      <c r="QEO9" s="4"/>
      <c r="QEP9" s="4"/>
      <c r="QEQ9" s="4"/>
      <c r="QER9" s="4"/>
      <c r="QES9" s="4"/>
      <c r="QET9" s="4"/>
      <c r="QEU9" s="4"/>
      <c r="QEV9" s="4"/>
      <c r="QEW9" s="4"/>
      <c r="QEX9" s="4"/>
      <c r="QEY9" s="4"/>
      <c r="QEZ9" s="4"/>
      <c r="QFA9" s="4"/>
      <c r="QFB9" s="4"/>
      <c r="QFC9" s="4"/>
      <c r="QFD9" s="4"/>
      <c r="QFE9" s="4"/>
      <c r="QFF9" s="4"/>
      <c r="QFG9" s="4"/>
      <c r="QFH9" s="4"/>
      <c r="QFI9" s="4"/>
      <c r="QFJ9" s="4"/>
      <c r="QFK9" s="4"/>
      <c r="QFL9" s="4"/>
      <c r="QFM9" s="4"/>
      <c r="QFN9" s="4"/>
      <c r="QFO9" s="4"/>
      <c r="QFP9" s="4"/>
      <c r="QFQ9" s="4"/>
      <c r="QFR9" s="4"/>
      <c r="QFS9" s="4"/>
      <c r="QFT9" s="4"/>
      <c r="QFU9" s="4"/>
      <c r="QFV9" s="4"/>
      <c r="QFW9" s="4"/>
      <c r="QFX9" s="4"/>
      <c r="QFY9" s="4"/>
      <c r="QFZ9" s="4"/>
      <c r="QGA9" s="4"/>
      <c r="QGB9" s="4"/>
      <c r="QGC9" s="4"/>
      <c r="QGD9" s="4"/>
      <c r="QGE9" s="4"/>
      <c r="QGF9" s="4"/>
      <c r="QGG9" s="4"/>
      <c r="QGH9" s="4"/>
      <c r="QGI9" s="4"/>
      <c r="QGJ9" s="4"/>
      <c r="QGK9" s="4"/>
      <c r="QGL9" s="4"/>
      <c r="QGM9" s="4"/>
      <c r="QGN9" s="4"/>
      <c r="QGO9" s="4"/>
      <c r="QGP9" s="4"/>
      <c r="QGQ9" s="4"/>
      <c r="QGR9" s="4"/>
      <c r="QGS9" s="4"/>
      <c r="QGT9" s="4"/>
      <c r="QGU9" s="4"/>
      <c r="QGV9" s="4"/>
      <c r="QGW9" s="4"/>
      <c r="QGX9" s="4"/>
      <c r="QGY9" s="4"/>
      <c r="QGZ9" s="4"/>
      <c r="QHA9" s="4"/>
      <c r="QHB9" s="4"/>
      <c r="QHC9" s="4"/>
      <c r="QHD9" s="4"/>
      <c r="QHE9" s="4"/>
      <c r="QHF9" s="4"/>
      <c r="QHG9" s="4"/>
      <c r="QHH9" s="4"/>
      <c r="QHI9" s="4"/>
      <c r="QHJ9" s="4"/>
      <c r="QHK9" s="4"/>
      <c r="QHL9" s="4"/>
      <c r="QHM9" s="4"/>
      <c r="QHN9" s="4"/>
      <c r="QHO9" s="4"/>
      <c r="QHP9" s="4"/>
      <c r="QHQ9" s="4"/>
      <c r="QHR9" s="4"/>
      <c r="QHS9" s="4"/>
      <c r="QHT9" s="4"/>
      <c r="QHU9" s="4"/>
      <c r="QHV9" s="4"/>
      <c r="QHW9" s="4"/>
      <c r="QHX9" s="4"/>
      <c r="QHY9" s="4"/>
      <c r="QHZ9" s="4"/>
      <c r="QIA9" s="4"/>
      <c r="QIB9" s="4"/>
      <c r="QIC9" s="4"/>
      <c r="QID9" s="4"/>
      <c r="QIE9" s="4"/>
      <c r="QIF9" s="4"/>
      <c r="QIG9" s="4"/>
      <c r="QIH9" s="4"/>
      <c r="QII9" s="4"/>
      <c r="QIJ9" s="4"/>
      <c r="QIK9" s="4"/>
      <c r="QIL9" s="4"/>
      <c r="QIM9" s="4"/>
      <c r="QIN9" s="4"/>
      <c r="QIO9" s="4"/>
      <c r="QIP9" s="4"/>
      <c r="QIQ9" s="4"/>
      <c r="QIR9" s="4"/>
      <c r="QIS9" s="4"/>
      <c r="QIT9" s="4"/>
      <c r="QIU9" s="4"/>
      <c r="QIV9" s="4"/>
      <c r="QIW9" s="4"/>
      <c r="QIX9" s="4"/>
      <c r="QIY9" s="4"/>
      <c r="QIZ9" s="4"/>
      <c r="QJA9" s="4"/>
      <c r="QJB9" s="4"/>
      <c r="QJC9" s="4"/>
      <c r="QJD9" s="4"/>
      <c r="QJE9" s="4"/>
      <c r="QJF9" s="4"/>
      <c r="QJG9" s="4"/>
      <c r="QJH9" s="4"/>
      <c r="QJI9" s="4"/>
      <c r="QJJ9" s="4"/>
      <c r="QJK9" s="4"/>
      <c r="QJL9" s="4"/>
      <c r="QJM9" s="4"/>
      <c r="QJN9" s="4"/>
      <c r="QJO9" s="4"/>
      <c r="QJP9" s="4"/>
      <c r="QJQ9" s="4"/>
      <c r="QJR9" s="4"/>
      <c r="QJS9" s="4"/>
      <c r="QJT9" s="4"/>
      <c r="QJU9" s="4"/>
      <c r="QJV9" s="4"/>
      <c r="QJW9" s="4"/>
      <c r="QJX9" s="4"/>
      <c r="QJY9" s="4"/>
      <c r="QJZ9" s="4"/>
      <c r="QKA9" s="4"/>
      <c r="QKB9" s="4"/>
      <c r="QKC9" s="4"/>
      <c r="QKD9" s="4"/>
      <c r="QKE9" s="4"/>
      <c r="QKF9" s="4"/>
      <c r="QKG9" s="4"/>
      <c r="QKH9" s="4"/>
      <c r="QKI9" s="4"/>
      <c r="QKJ9" s="4"/>
      <c r="QKK9" s="4"/>
      <c r="QKL9" s="4"/>
      <c r="QKM9" s="4"/>
      <c r="QKN9" s="4"/>
      <c r="QKO9" s="4"/>
      <c r="QKP9" s="4"/>
      <c r="QKQ9" s="4"/>
      <c r="QKR9" s="4"/>
      <c r="QKS9" s="4"/>
      <c r="QKT9" s="4"/>
      <c r="QKU9" s="4"/>
      <c r="QKV9" s="4"/>
      <c r="QKW9" s="4"/>
      <c r="QKX9" s="4"/>
      <c r="QKY9" s="4"/>
      <c r="QKZ9" s="4"/>
      <c r="QLA9" s="4"/>
      <c r="QLB9" s="4"/>
      <c r="QLC9" s="4"/>
      <c r="QLD9" s="4"/>
      <c r="QLE9" s="4"/>
      <c r="QLF9" s="4"/>
      <c r="QLG9" s="4"/>
      <c r="QLH9" s="4"/>
      <c r="QLI9" s="4"/>
      <c r="QLJ9" s="4"/>
      <c r="QLK9" s="4"/>
      <c r="QLL9" s="4"/>
      <c r="QLM9" s="4"/>
      <c r="QLN9" s="4"/>
      <c r="QLO9" s="4"/>
      <c r="QLP9" s="4"/>
      <c r="QLQ9" s="4"/>
      <c r="QLR9" s="4"/>
      <c r="QLS9" s="4"/>
      <c r="QLT9" s="4"/>
      <c r="QLU9" s="4"/>
      <c r="QLV9" s="4"/>
      <c r="QLW9" s="4"/>
      <c r="QLX9" s="4"/>
      <c r="QLY9" s="4"/>
      <c r="QLZ9" s="4"/>
      <c r="QMA9" s="4"/>
      <c r="QMB9" s="4"/>
      <c r="QMC9" s="4"/>
      <c r="QMD9" s="4"/>
      <c r="QME9" s="4"/>
      <c r="QMF9" s="4"/>
      <c r="QMG9" s="4"/>
      <c r="QMH9" s="4"/>
      <c r="QMI9" s="4"/>
      <c r="QMJ9" s="4"/>
      <c r="QMK9" s="4"/>
      <c r="QML9" s="4"/>
      <c r="QMM9" s="4"/>
      <c r="QMN9" s="4"/>
      <c r="QMO9" s="4"/>
      <c r="QMP9" s="4"/>
      <c r="QMQ9" s="4"/>
      <c r="QMR9" s="4"/>
      <c r="QMS9" s="4"/>
      <c r="QMT9" s="4"/>
      <c r="QMU9" s="4"/>
      <c r="QMV9" s="4"/>
      <c r="QMW9" s="4"/>
      <c r="QMX9" s="4"/>
      <c r="QMY9" s="4"/>
      <c r="QMZ9" s="4"/>
      <c r="QNA9" s="4"/>
      <c r="QNB9" s="4"/>
      <c r="QNC9" s="4"/>
      <c r="QND9" s="4"/>
      <c r="QNE9" s="4"/>
      <c r="QNF9" s="4"/>
      <c r="QNG9" s="4"/>
      <c r="QNH9" s="4"/>
      <c r="QNI9" s="4"/>
      <c r="QNJ9" s="4"/>
      <c r="QNK9" s="4"/>
      <c r="QNL9" s="4"/>
      <c r="QNM9" s="4"/>
      <c r="QNN9" s="4"/>
      <c r="QNO9" s="4"/>
      <c r="QNP9" s="4"/>
      <c r="QNQ9" s="4"/>
      <c r="QNR9" s="4"/>
      <c r="QNS9" s="4"/>
      <c r="QNT9" s="4"/>
      <c r="QNU9" s="4"/>
      <c r="QNV9" s="4"/>
      <c r="QNW9" s="4"/>
      <c r="QNX9" s="4"/>
      <c r="QNY9" s="4"/>
      <c r="QNZ9" s="4"/>
      <c r="QOA9" s="4"/>
      <c r="QOB9" s="4"/>
      <c r="QOC9" s="4"/>
      <c r="QOD9" s="4"/>
      <c r="QOE9" s="4"/>
      <c r="QOF9" s="4"/>
      <c r="QOG9" s="4"/>
      <c r="QOH9" s="4"/>
      <c r="QOI9" s="4"/>
      <c r="QOJ9" s="4"/>
      <c r="QOK9" s="4"/>
      <c r="QOL9" s="4"/>
      <c r="QOM9" s="4"/>
      <c r="QON9" s="4"/>
      <c r="QOO9" s="4"/>
      <c r="QOP9" s="4"/>
      <c r="QOQ9" s="4"/>
      <c r="QOR9" s="4"/>
      <c r="QOS9" s="4"/>
      <c r="QOT9" s="4"/>
      <c r="QOU9" s="4"/>
      <c r="QOV9" s="4"/>
      <c r="QOW9" s="4"/>
      <c r="QOX9" s="4"/>
      <c r="QOY9" s="4"/>
      <c r="QOZ9" s="4"/>
      <c r="QPA9" s="4"/>
      <c r="QPB9" s="4"/>
      <c r="QPC9" s="4"/>
      <c r="QPD9" s="4"/>
      <c r="QPE9" s="4"/>
      <c r="QPF9" s="4"/>
      <c r="QPG9" s="4"/>
      <c r="QPH9" s="4"/>
      <c r="QPI9" s="4"/>
      <c r="QPJ9" s="4"/>
      <c r="QPK9" s="4"/>
      <c r="QPL9" s="4"/>
      <c r="QPM9" s="4"/>
      <c r="QPN9" s="4"/>
      <c r="QPO9" s="4"/>
      <c r="QPP9" s="4"/>
      <c r="QPQ9" s="4"/>
      <c r="QPR9" s="4"/>
      <c r="QPS9" s="4"/>
      <c r="QPT9" s="4"/>
      <c r="QPU9" s="4"/>
      <c r="QPV9" s="4"/>
      <c r="QPW9" s="4"/>
      <c r="QPX9" s="4"/>
      <c r="QPY9" s="4"/>
      <c r="QPZ9" s="4"/>
      <c r="QQA9" s="4"/>
      <c r="QQB9" s="4"/>
      <c r="QQC9" s="4"/>
      <c r="QQD9" s="4"/>
      <c r="QQE9" s="4"/>
      <c r="QQF9" s="4"/>
      <c r="QQG9" s="4"/>
      <c r="QQH9" s="4"/>
      <c r="QQI9" s="4"/>
      <c r="QQJ9" s="4"/>
      <c r="QQK9" s="4"/>
      <c r="QQL9" s="4"/>
      <c r="QQM9" s="4"/>
      <c r="QQN9" s="4"/>
      <c r="QQO9" s="4"/>
      <c r="QQP9" s="4"/>
      <c r="QQQ9" s="4"/>
      <c r="QQR9" s="4"/>
      <c r="QQS9" s="4"/>
      <c r="QQT9" s="4"/>
      <c r="QQU9" s="4"/>
      <c r="QQV9" s="4"/>
      <c r="QQW9" s="4"/>
      <c r="QQX9" s="4"/>
      <c r="QQY9" s="4"/>
      <c r="QQZ9" s="4"/>
      <c r="QRA9" s="4"/>
      <c r="QRB9" s="4"/>
      <c r="QRC9" s="4"/>
      <c r="QRD9" s="4"/>
      <c r="QRE9" s="4"/>
      <c r="QRF9" s="4"/>
      <c r="QRG9" s="4"/>
      <c r="QRH9" s="4"/>
      <c r="QRI9" s="4"/>
      <c r="QRJ9" s="4"/>
      <c r="QRK9" s="4"/>
      <c r="QRL9" s="4"/>
      <c r="QRM9" s="4"/>
      <c r="QRN9" s="4"/>
      <c r="QRO9" s="4"/>
      <c r="QRP9" s="4"/>
      <c r="QRQ9" s="4"/>
      <c r="QRR9" s="4"/>
      <c r="QRS9" s="4"/>
      <c r="QRT9" s="4"/>
      <c r="QRU9" s="4"/>
      <c r="QRV9" s="4"/>
      <c r="QRW9" s="4"/>
      <c r="QRX9" s="4"/>
      <c r="QRY9" s="4"/>
      <c r="QRZ9" s="4"/>
      <c r="QSA9" s="4"/>
      <c r="QSB9" s="4"/>
      <c r="QSC9" s="4"/>
      <c r="QSD9" s="4"/>
      <c r="QSE9" s="4"/>
      <c r="QSF9" s="4"/>
      <c r="QSG9" s="4"/>
      <c r="QSH9" s="4"/>
      <c r="QSI9" s="4"/>
      <c r="QSJ9" s="4"/>
      <c r="QSK9" s="4"/>
      <c r="QSL9" s="4"/>
      <c r="QSM9" s="4"/>
      <c r="QSN9" s="4"/>
      <c r="QSO9" s="4"/>
      <c r="QSP9" s="4"/>
      <c r="QSQ9" s="4"/>
      <c r="QSR9" s="4"/>
      <c r="QSS9" s="4"/>
      <c r="QST9" s="4"/>
      <c r="QSU9" s="4"/>
      <c r="QSV9" s="4"/>
      <c r="QSW9" s="4"/>
      <c r="QSX9" s="4"/>
      <c r="QSY9" s="4"/>
      <c r="QSZ9" s="4"/>
      <c r="QTA9" s="4"/>
      <c r="QTB9" s="4"/>
      <c r="QTC9" s="4"/>
      <c r="QTD9" s="4"/>
      <c r="QTE9" s="4"/>
      <c r="QTF9" s="4"/>
      <c r="QTG9" s="4"/>
      <c r="QTH9" s="4"/>
      <c r="QTI9" s="4"/>
      <c r="QTJ9" s="4"/>
      <c r="QTK9" s="4"/>
      <c r="QTL9" s="4"/>
      <c r="QTM9" s="4"/>
      <c r="QTN9" s="4"/>
      <c r="QTO9" s="4"/>
      <c r="QTP9" s="4"/>
      <c r="QTQ9" s="4"/>
      <c r="QTR9" s="4"/>
      <c r="QTS9" s="4"/>
      <c r="QTT9" s="4"/>
      <c r="QTU9" s="4"/>
      <c r="QTV9" s="4"/>
      <c r="QTW9" s="4"/>
      <c r="QTX9" s="4"/>
      <c r="QTY9" s="4"/>
      <c r="QTZ9" s="4"/>
      <c r="QUA9" s="4"/>
      <c r="QUB9" s="4"/>
      <c r="QUC9" s="4"/>
      <c r="QUD9" s="4"/>
      <c r="QUE9" s="4"/>
      <c r="QUF9" s="4"/>
      <c r="QUG9" s="4"/>
      <c r="QUH9" s="4"/>
      <c r="QUI9" s="4"/>
      <c r="QUJ9" s="4"/>
      <c r="QUK9" s="4"/>
      <c r="QUL9" s="4"/>
      <c r="QUM9" s="4"/>
      <c r="QUN9" s="4"/>
      <c r="QUO9" s="4"/>
      <c r="QUP9" s="4"/>
      <c r="QUQ9" s="4"/>
      <c r="QUR9" s="4"/>
      <c r="QUS9" s="4"/>
      <c r="QUT9" s="4"/>
      <c r="QUU9" s="4"/>
      <c r="QUV9" s="4"/>
      <c r="QUW9" s="4"/>
      <c r="QUX9" s="4"/>
      <c r="QUY9" s="4"/>
      <c r="QUZ9" s="4"/>
      <c r="QVA9" s="4"/>
      <c r="QVB9" s="4"/>
      <c r="QVC9" s="4"/>
      <c r="QVD9" s="4"/>
      <c r="QVE9" s="4"/>
      <c r="QVF9" s="4"/>
      <c r="QVG9" s="4"/>
      <c r="QVH9" s="4"/>
      <c r="QVI9" s="4"/>
      <c r="QVJ9" s="4"/>
      <c r="QVK9" s="4"/>
      <c r="QVL9" s="4"/>
      <c r="QVM9" s="4"/>
      <c r="QVN9" s="4"/>
      <c r="QVO9" s="4"/>
      <c r="QVP9" s="4"/>
      <c r="QVQ9" s="4"/>
      <c r="QVR9" s="4"/>
      <c r="QVS9" s="4"/>
      <c r="QVT9" s="4"/>
      <c r="QVU9" s="4"/>
      <c r="QVV9" s="4"/>
      <c r="QVW9" s="4"/>
      <c r="QVX9" s="4"/>
      <c r="QVY9" s="4"/>
      <c r="QVZ9" s="4"/>
      <c r="QWA9" s="4"/>
      <c r="QWB9" s="4"/>
      <c r="QWC9" s="4"/>
      <c r="QWD9" s="4"/>
      <c r="QWE9" s="4"/>
      <c r="QWF9" s="4"/>
      <c r="QWG9" s="4"/>
      <c r="QWH9" s="4"/>
      <c r="QWI9" s="4"/>
      <c r="QWJ9" s="4"/>
      <c r="QWK9" s="4"/>
      <c r="QWL9" s="4"/>
      <c r="QWM9" s="4"/>
      <c r="QWN9" s="4"/>
      <c r="QWO9" s="4"/>
      <c r="QWP9" s="4"/>
      <c r="QWQ9" s="4"/>
      <c r="QWR9" s="4"/>
      <c r="QWS9" s="4"/>
      <c r="QWT9" s="4"/>
      <c r="QWU9" s="4"/>
      <c r="QWV9" s="4"/>
      <c r="QWW9" s="4"/>
      <c r="QWX9" s="4"/>
      <c r="QWY9" s="4"/>
      <c r="QWZ9" s="4"/>
      <c r="QXA9" s="4"/>
      <c r="QXB9" s="4"/>
      <c r="QXC9" s="4"/>
      <c r="QXD9" s="4"/>
      <c r="QXE9" s="4"/>
      <c r="QXF9" s="4"/>
      <c r="QXG9" s="4"/>
      <c r="QXH9" s="4"/>
      <c r="QXI9" s="4"/>
      <c r="QXJ9" s="4"/>
      <c r="QXK9" s="4"/>
      <c r="QXL9" s="4"/>
      <c r="QXM9" s="4"/>
      <c r="QXN9" s="4"/>
      <c r="QXO9" s="4"/>
      <c r="QXP9" s="4"/>
      <c r="QXQ9" s="4"/>
      <c r="QXR9" s="4"/>
      <c r="QXS9" s="4"/>
      <c r="QXT9" s="4"/>
      <c r="QXU9" s="4"/>
      <c r="QXV9" s="4"/>
      <c r="QXW9" s="4"/>
      <c r="QXX9" s="4"/>
      <c r="QXY9" s="4"/>
      <c r="QXZ9" s="4"/>
      <c r="QYA9" s="4"/>
      <c r="QYB9" s="4"/>
      <c r="QYC9" s="4"/>
      <c r="QYD9" s="4"/>
      <c r="QYE9" s="4"/>
      <c r="QYF9" s="4"/>
      <c r="QYG9" s="4"/>
      <c r="QYH9" s="4"/>
      <c r="QYI9" s="4"/>
      <c r="QYJ9" s="4"/>
      <c r="QYK9" s="4"/>
      <c r="QYL9" s="4"/>
      <c r="QYM9" s="4"/>
      <c r="QYN9" s="4"/>
      <c r="QYO9" s="4"/>
      <c r="QYP9" s="4"/>
      <c r="QYQ9" s="4"/>
      <c r="QYR9" s="4"/>
      <c r="QYS9" s="4"/>
      <c r="QYT9" s="4"/>
      <c r="QYU9" s="4"/>
      <c r="QYV9" s="4"/>
      <c r="QYW9" s="4"/>
      <c r="QYX9" s="4"/>
      <c r="QYY9" s="4"/>
      <c r="QYZ9" s="4"/>
      <c r="QZA9" s="4"/>
      <c r="QZB9" s="4"/>
      <c r="QZC9" s="4"/>
      <c r="QZD9" s="4"/>
      <c r="QZE9" s="4"/>
      <c r="QZF9" s="4"/>
      <c r="QZG9" s="4"/>
      <c r="QZH9" s="4"/>
      <c r="QZI9" s="4"/>
      <c r="QZJ9" s="4"/>
      <c r="QZK9" s="4"/>
      <c r="QZL9" s="4"/>
      <c r="QZM9" s="4"/>
      <c r="QZN9" s="4"/>
      <c r="QZO9" s="4"/>
      <c r="QZP9" s="4"/>
      <c r="QZQ9" s="4"/>
      <c r="QZR9" s="4"/>
      <c r="QZS9" s="4"/>
      <c r="QZT9" s="4"/>
      <c r="QZU9" s="4"/>
      <c r="QZV9" s="4"/>
      <c r="QZW9" s="4"/>
      <c r="QZX9" s="4"/>
      <c r="QZY9" s="4"/>
      <c r="QZZ9" s="4"/>
      <c r="RAA9" s="4"/>
      <c r="RAB9" s="4"/>
      <c r="RAC9" s="4"/>
      <c r="RAD9" s="4"/>
      <c r="RAE9" s="4"/>
      <c r="RAF9" s="4"/>
      <c r="RAG9" s="4"/>
      <c r="RAH9" s="4"/>
      <c r="RAI9" s="4"/>
      <c r="RAJ9" s="4"/>
      <c r="RAK9" s="4"/>
      <c r="RAL9" s="4"/>
      <c r="RAM9" s="4"/>
      <c r="RAN9" s="4"/>
      <c r="RAO9" s="4"/>
      <c r="RAP9" s="4"/>
      <c r="RAQ9" s="4"/>
      <c r="RAR9" s="4"/>
      <c r="RAS9" s="4"/>
      <c r="RAT9" s="4"/>
      <c r="RAU9" s="4"/>
      <c r="RAV9" s="4"/>
      <c r="RAW9" s="4"/>
      <c r="RAX9" s="4"/>
      <c r="RAY9" s="4"/>
      <c r="RAZ9" s="4"/>
      <c r="RBA9" s="4"/>
      <c r="RBB9" s="4"/>
      <c r="RBC9" s="4"/>
      <c r="RBD9" s="4"/>
      <c r="RBE9" s="4"/>
      <c r="RBF9" s="4"/>
      <c r="RBG9" s="4"/>
      <c r="RBH9" s="4"/>
      <c r="RBI9" s="4"/>
      <c r="RBJ9" s="4"/>
      <c r="RBK9" s="4"/>
      <c r="RBL9" s="4"/>
      <c r="RBM9" s="4"/>
      <c r="RBN9" s="4"/>
      <c r="RBO9" s="4"/>
      <c r="RBP9" s="4"/>
      <c r="RBQ9" s="4"/>
      <c r="RBR9" s="4"/>
      <c r="RBS9" s="4"/>
      <c r="RBT9" s="4"/>
      <c r="RBU9" s="4"/>
      <c r="RBV9" s="4"/>
      <c r="RBW9" s="4"/>
      <c r="RBX9" s="4"/>
      <c r="RBY9" s="4"/>
      <c r="RBZ9" s="4"/>
      <c r="RCA9" s="4"/>
      <c r="RCB9" s="4"/>
      <c r="RCC9" s="4"/>
      <c r="RCD9" s="4"/>
      <c r="RCE9" s="4"/>
      <c r="RCF9" s="4"/>
      <c r="RCG9" s="4"/>
      <c r="RCH9" s="4"/>
      <c r="RCI9" s="4"/>
      <c r="RCJ9" s="4"/>
      <c r="RCK9" s="4"/>
      <c r="RCL9" s="4"/>
      <c r="RCM9" s="4"/>
      <c r="RCN9" s="4"/>
      <c r="RCO9" s="4"/>
      <c r="RCP9" s="4"/>
      <c r="RCQ9" s="4"/>
      <c r="RCR9" s="4"/>
      <c r="RCS9" s="4"/>
      <c r="RCT9" s="4"/>
      <c r="RCU9" s="4"/>
      <c r="RCV9" s="4"/>
      <c r="RCW9" s="4"/>
      <c r="RCX9" s="4"/>
      <c r="RCY9" s="4"/>
      <c r="RCZ9" s="4"/>
      <c r="RDA9" s="4"/>
      <c r="RDB9" s="4"/>
      <c r="RDC9" s="4"/>
      <c r="RDD9" s="4"/>
      <c r="RDE9" s="4"/>
      <c r="RDF9" s="4"/>
      <c r="RDG9" s="4"/>
      <c r="RDH9" s="4"/>
      <c r="RDI9" s="4"/>
      <c r="RDJ9" s="4"/>
      <c r="RDK9" s="4"/>
      <c r="RDL9" s="4"/>
      <c r="RDM9" s="4"/>
      <c r="RDN9" s="4"/>
      <c r="RDO9" s="4"/>
      <c r="RDP9" s="4"/>
      <c r="RDQ9" s="4"/>
      <c r="RDR9" s="4"/>
      <c r="RDS9" s="4"/>
      <c r="RDT9" s="4"/>
      <c r="RDU9" s="4"/>
      <c r="RDV9" s="4"/>
      <c r="RDW9" s="4"/>
      <c r="RDX9" s="4"/>
      <c r="RDY9" s="4"/>
      <c r="RDZ9" s="4"/>
      <c r="REA9" s="4"/>
      <c r="REB9" s="4"/>
      <c r="REC9" s="4"/>
      <c r="RED9" s="4"/>
      <c r="REE9" s="4"/>
      <c r="REF9" s="4"/>
      <c r="REG9" s="4"/>
      <c r="REH9" s="4"/>
      <c r="REI9" s="4"/>
      <c r="REJ9" s="4"/>
      <c r="REK9" s="4"/>
      <c r="REL9" s="4"/>
      <c r="REM9" s="4"/>
      <c r="REN9" s="4"/>
      <c r="REO9" s="4"/>
      <c r="REP9" s="4"/>
      <c r="REQ9" s="4"/>
      <c r="RER9" s="4"/>
      <c r="RES9" s="4"/>
      <c r="RET9" s="4"/>
      <c r="REU9" s="4"/>
      <c r="REV9" s="4"/>
      <c r="REW9" s="4"/>
      <c r="REX9" s="4"/>
      <c r="REY9" s="4"/>
      <c r="REZ9" s="4"/>
      <c r="RFA9" s="4"/>
      <c r="RFB9" s="4"/>
      <c r="RFC9" s="4"/>
      <c r="RFD9" s="4"/>
      <c r="RFE9" s="4"/>
      <c r="RFF9" s="4"/>
      <c r="RFG9" s="4"/>
      <c r="RFH9" s="4"/>
      <c r="RFI9" s="4"/>
      <c r="RFJ9" s="4"/>
      <c r="RFK9" s="4"/>
      <c r="RFL9" s="4"/>
      <c r="RFM9" s="4"/>
      <c r="RFN9" s="4"/>
      <c r="RFO9" s="4"/>
      <c r="RFP9" s="4"/>
      <c r="RFQ9" s="4"/>
      <c r="RFR9" s="4"/>
      <c r="RFS9" s="4"/>
      <c r="RFT9" s="4"/>
      <c r="RFU9" s="4"/>
      <c r="RFV9" s="4"/>
      <c r="RFW9" s="4"/>
      <c r="RFX9" s="4"/>
      <c r="RFY9" s="4"/>
      <c r="RFZ9" s="4"/>
      <c r="RGA9" s="4"/>
      <c r="RGB9" s="4"/>
      <c r="RGC9" s="4"/>
      <c r="RGD9" s="4"/>
      <c r="RGE9" s="4"/>
      <c r="RGF9" s="4"/>
      <c r="RGG9" s="4"/>
      <c r="RGH9" s="4"/>
      <c r="RGI9" s="4"/>
      <c r="RGJ9" s="4"/>
      <c r="RGK9" s="4"/>
      <c r="RGL9" s="4"/>
      <c r="RGM9" s="4"/>
      <c r="RGN9" s="4"/>
      <c r="RGO9" s="4"/>
      <c r="RGP9" s="4"/>
      <c r="RGQ9" s="4"/>
      <c r="RGR9" s="4"/>
      <c r="RGS9" s="4"/>
      <c r="RGT9" s="4"/>
      <c r="RGU9" s="4"/>
      <c r="RGV9" s="4"/>
      <c r="RGW9" s="4"/>
      <c r="RGX9" s="4"/>
      <c r="RGY9" s="4"/>
      <c r="RGZ9" s="4"/>
      <c r="RHA9" s="4"/>
      <c r="RHB9" s="4"/>
      <c r="RHC9" s="4"/>
      <c r="RHD9" s="4"/>
      <c r="RHE9" s="4"/>
      <c r="RHF9" s="4"/>
      <c r="RHG9" s="4"/>
      <c r="RHH9" s="4"/>
      <c r="RHI9" s="4"/>
      <c r="RHJ9" s="4"/>
      <c r="RHK9" s="4"/>
      <c r="RHL9" s="4"/>
      <c r="RHM9" s="4"/>
      <c r="RHN9" s="4"/>
      <c r="RHO9" s="4"/>
      <c r="RHP9" s="4"/>
      <c r="RHQ9" s="4"/>
      <c r="RHR9" s="4"/>
      <c r="RHS9" s="4"/>
      <c r="RHT9" s="4"/>
      <c r="RHU9" s="4"/>
      <c r="RHV9" s="4"/>
      <c r="RHW9" s="4"/>
      <c r="RHX9" s="4"/>
      <c r="RHY9" s="4"/>
      <c r="RHZ9" s="4"/>
      <c r="RIA9" s="4"/>
      <c r="RIB9" s="4"/>
      <c r="RIC9" s="4"/>
      <c r="RID9" s="4"/>
      <c r="RIE9" s="4"/>
      <c r="RIF9" s="4"/>
      <c r="RIG9" s="4"/>
      <c r="RIH9" s="4"/>
      <c r="RII9" s="4"/>
      <c r="RIJ9" s="4"/>
      <c r="RIK9" s="4"/>
      <c r="RIL9" s="4"/>
      <c r="RIM9" s="4"/>
      <c r="RIN9" s="4"/>
      <c r="RIO9" s="4"/>
      <c r="RIP9" s="4"/>
      <c r="RIQ9" s="4"/>
      <c r="RIR9" s="4"/>
      <c r="RIS9" s="4"/>
      <c r="RIT9" s="4"/>
      <c r="RIU9" s="4"/>
      <c r="RIV9" s="4"/>
      <c r="RIW9" s="4"/>
      <c r="RIX9" s="4"/>
      <c r="RIY9" s="4"/>
      <c r="RIZ9" s="4"/>
      <c r="RJA9" s="4"/>
      <c r="RJB9" s="4"/>
      <c r="RJC9" s="4"/>
      <c r="RJD9" s="4"/>
      <c r="RJE9" s="4"/>
      <c r="RJF9" s="4"/>
      <c r="RJG9" s="4"/>
      <c r="RJH9" s="4"/>
      <c r="RJI9" s="4"/>
      <c r="RJJ9" s="4"/>
      <c r="RJK9" s="4"/>
      <c r="RJL9" s="4"/>
      <c r="RJM9" s="4"/>
      <c r="RJN9" s="4"/>
      <c r="RJO9" s="4"/>
      <c r="RJP9" s="4"/>
      <c r="RJQ9" s="4"/>
      <c r="RJR9" s="4"/>
      <c r="RJS9" s="4"/>
      <c r="RJT9" s="4"/>
      <c r="RJU9" s="4"/>
      <c r="RJV9" s="4"/>
      <c r="RJW9" s="4"/>
      <c r="RJX9" s="4"/>
      <c r="RJY9" s="4"/>
      <c r="RJZ9" s="4"/>
      <c r="RKA9" s="4"/>
      <c r="RKB9" s="4"/>
      <c r="RKC9" s="4"/>
      <c r="RKD9" s="4"/>
      <c r="RKE9" s="4"/>
      <c r="RKF9" s="4"/>
      <c r="RKG9" s="4"/>
      <c r="RKH9" s="4"/>
      <c r="RKI9" s="4"/>
      <c r="RKJ9" s="4"/>
      <c r="RKK9" s="4"/>
      <c r="RKL9" s="4"/>
      <c r="RKM9" s="4"/>
      <c r="RKN9" s="4"/>
      <c r="RKO9" s="4"/>
      <c r="RKP9" s="4"/>
      <c r="RKQ9" s="4"/>
      <c r="RKR9" s="4"/>
      <c r="RKS9" s="4"/>
      <c r="RKT9" s="4"/>
      <c r="RKU9" s="4"/>
      <c r="RKV9" s="4"/>
      <c r="RKW9" s="4"/>
      <c r="RKX9" s="4"/>
      <c r="RKY9" s="4"/>
      <c r="RKZ9" s="4"/>
      <c r="RLA9" s="4"/>
      <c r="RLB9" s="4"/>
      <c r="RLC9" s="4"/>
      <c r="RLD9" s="4"/>
      <c r="RLE9" s="4"/>
      <c r="RLF9" s="4"/>
      <c r="RLG9" s="4"/>
      <c r="RLH9" s="4"/>
      <c r="RLI9" s="4"/>
      <c r="RLJ9" s="4"/>
      <c r="RLK9" s="4"/>
      <c r="RLL9" s="4"/>
      <c r="RLM9" s="4"/>
      <c r="RLN9" s="4"/>
      <c r="RLO9" s="4"/>
      <c r="RLP9" s="4"/>
      <c r="RLQ9" s="4"/>
      <c r="RLR9" s="4"/>
      <c r="RLS9" s="4"/>
      <c r="RLT9" s="4"/>
      <c r="RLU9" s="4"/>
      <c r="RLV9" s="4"/>
      <c r="RLW9" s="4"/>
      <c r="RLX9" s="4"/>
      <c r="RLY9" s="4"/>
      <c r="RLZ9" s="4"/>
      <c r="RMA9" s="4"/>
      <c r="RMB9" s="4"/>
      <c r="RMC9" s="4"/>
      <c r="RMD9" s="4"/>
      <c r="RME9" s="4"/>
      <c r="RMF9" s="4"/>
      <c r="RMG9" s="4"/>
      <c r="RMH9" s="4"/>
      <c r="RMI9" s="4"/>
      <c r="RMJ9" s="4"/>
      <c r="RMK9" s="4"/>
      <c r="RML9" s="4"/>
      <c r="RMM9" s="4"/>
      <c r="RMN9" s="4"/>
      <c r="RMO9" s="4"/>
      <c r="RMP9" s="4"/>
      <c r="RMQ9" s="4"/>
      <c r="RMR9" s="4"/>
      <c r="RMS9" s="4"/>
      <c r="RMT9" s="4"/>
      <c r="RMU9" s="4"/>
      <c r="RMV9" s="4"/>
      <c r="RMW9" s="4"/>
      <c r="RMX9" s="4"/>
      <c r="RMY9" s="4"/>
      <c r="RMZ9" s="4"/>
      <c r="RNA9" s="4"/>
      <c r="RNB9" s="4"/>
      <c r="RNC9" s="4"/>
      <c r="RND9" s="4"/>
      <c r="RNE9" s="4"/>
      <c r="RNF9" s="4"/>
      <c r="RNG9" s="4"/>
      <c r="RNH9" s="4"/>
      <c r="RNI9" s="4"/>
      <c r="RNJ9" s="4"/>
      <c r="RNK9" s="4"/>
      <c r="RNL9" s="4"/>
      <c r="RNM9" s="4"/>
      <c r="RNN9" s="4"/>
      <c r="RNO9" s="4"/>
      <c r="RNP9" s="4"/>
      <c r="RNQ9" s="4"/>
      <c r="RNR9" s="4"/>
      <c r="RNS9" s="4"/>
      <c r="RNT9" s="4"/>
      <c r="RNU9" s="4"/>
      <c r="RNV9" s="4"/>
      <c r="RNW9" s="4"/>
      <c r="RNX9" s="4"/>
      <c r="RNY9" s="4"/>
      <c r="RNZ9" s="4"/>
      <c r="ROA9" s="4"/>
      <c r="ROB9" s="4"/>
      <c r="ROC9" s="4"/>
      <c r="ROD9" s="4"/>
      <c r="ROE9" s="4"/>
      <c r="ROF9" s="4"/>
      <c r="ROG9" s="4"/>
      <c r="ROH9" s="4"/>
      <c r="ROI9" s="4"/>
      <c r="ROJ9" s="4"/>
      <c r="ROK9" s="4"/>
      <c r="ROL9" s="4"/>
      <c r="ROM9" s="4"/>
      <c r="RON9" s="4"/>
      <c r="ROO9" s="4"/>
      <c r="ROP9" s="4"/>
      <c r="ROQ9" s="4"/>
      <c r="ROR9" s="4"/>
      <c r="ROS9" s="4"/>
      <c r="ROT9" s="4"/>
      <c r="ROU9" s="4"/>
      <c r="ROV9" s="4"/>
      <c r="ROW9" s="4"/>
      <c r="ROX9" s="4"/>
      <c r="ROY9" s="4"/>
      <c r="ROZ9" s="4"/>
      <c r="RPA9" s="4"/>
      <c r="RPB9" s="4"/>
      <c r="RPC9" s="4"/>
      <c r="RPD9" s="4"/>
      <c r="RPE9" s="4"/>
      <c r="RPF9" s="4"/>
      <c r="RPG9" s="4"/>
      <c r="RPH9" s="4"/>
      <c r="RPI9" s="4"/>
      <c r="RPJ9" s="4"/>
      <c r="RPK9" s="4"/>
      <c r="RPL9" s="4"/>
      <c r="RPM9" s="4"/>
      <c r="RPN9" s="4"/>
      <c r="RPO9" s="4"/>
      <c r="RPP9" s="4"/>
      <c r="RPQ9" s="4"/>
      <c r="RPR9" s="4"/>
      <c r="RPS9" s="4"/>
      <c r="RPT9" s="4"/>
      <c r="RPU9" s="4"/>
      <c r="RPV9" s="4"/>
      <c r="RPW9" s="4"/>
      <c r="RPX9" s="4"/>
      <c r="RPY9" s="4"/>
      <c r="RPZ9" s="4"/>
      <c r="RQA9" s="4"/>
      <c r="RQB9" s="4"/>
      <c r="RQC9" s="4"/>
      <c r="RQD9" s="4"/>
      <c r="RQE9" s="4"/>
      <c r="RQF9" s="4"/>
      <c r="RQG9" s="4"/>
      <c r="RQH9" s="4"/>
      <c r="RQI9" s="4"/>
      <c r="RQJ9" s="4"/>
      <c r="RQK9" s="4"/>
      <c r="RQL9" s="4"/>
      <c r="RQM9" s="4"/>
      <c r="RQN9" s="4"/>
      <c r="RQO9" s="4"/>
      <c r="RQP9" s="4"/>
      <c r="RQQ9" s="4"/>
      <c r="RQR9" s="4"/>
      <c r="RQS9" s="4"/>
      <c r="RQT9" s="4"/>
      <c r="RQU9" s="4"/>
      <c r="RQV9" s="4"/>
      <c r="RQW9" s="4"/>
      <c r="RQX9" s="4"/>
      <c r="RQY9" s="4"/>
      <c r="RQZ9" s="4"/>
      <c r="RRA9" s="4"/>
      <c r="RRB9" s="4"/>
      <c r="RRC9" s="4"/>
      <c r="RRD9" s="4"/>
      <c r="RRE9" s="4"/>
      <c r="RRF9" s="4"/>
      <c r="RRG9" s="4"/>
      <c r="RRH9" s="4"/>
      <c r="RRI9" s="4"/>
      <c r="RRJ9" s="4"/>
      <c r="RRK9" s="4"/>
      <c r="RRL9" s="4"/>
      <c r="RRM9" s="4"/>
      <c r="RRN9" s="4"/>
      <c r="RRO9" s="4"/>
      <c r="RRP9" s="4"/>
      <c r="RRQ9" s="4"/>
      <c r="RRR9" s="4"/>
      <c r="RRS9" s="4"/>
      <c r="RRT9" s="4"/>
      <c r="RRU9" s="4"/>
      <c r="RRV9" s="4"/>
      <c r="RRW9" s="4"/>
      <c r="RRX9" s="4"/>
      <c r="RRY9" s="4"/>
      <c r="RRZ9" s="4"/>
      <c r="RSA9" s="4"/>
      <c r="RSB9" s="4"/>
      <c r="RSC9" s="4"/>
      <c r="RSD9" s="4"/>
      <c r="RSE9" s="4"/>
      <c r="RSF9" s="4"/>
      <c r="RSG9" s="4"/>
      <c r="RSH9" s="4"/>
      <c r="RSI9" s="4"/>
      <c r="RSJ9" s="4"/>
      <c r="RSK9" s="4"/>
      <c r="RSL9" s="4"/>
      <c r="RSM9" s="4"/>
      <c r="RSN9" s="4"/>
      <c r="RSO9" s="4"/>
      <c r="RSP9" s="4"/>
      <c r="RSQ9" s="4"/>
      <c r="RSR9" s="4"/>
      <c r="RSS9" s="4"/>
      <c r="RST9" s="4"/>
      <c r="RSU9" s="4"/>
      <c r="RSV9" s="4"/>
      <c r="RSW9" s="4"/>
      <c r="RSX9" s="4"/>
      <c r="RSY9" s="4"/>
      <c r="RSZ9" s="4"/>
      <c r="RTA9" s="4"/>
      <c r="RTB9" s="4"/>
      <c r="RTC9" s="4"/>
      <c r="RTD9" s="4"/>
      <c r="RTE9" s="4"/>
      <c r="RTF9" s="4"/>
      <c r="RTG9" s="4"/>
      <c r="RTH9" s="4"/>
      <c r="RTI9" s="4"/>
      <c r="RTJ9" s="4"/>
      <c r="RTK9" s="4"/>
      <c r="RTL9" s="4"/>
      <c r="RTM9" s="4"/>
      <c r="RTN9" s="4"/>
      <c r="RTO9" s="4"/>
      <c r="RTP9" s="4"/>
      <c r="RTQ9" s="4"/>
      <c r="RTR9" s="4"/>
      <c r="RTS9" s="4"/>
      <c r="RTT9" s="4"/>
      <c r="RTU9" s="4"/>
      <c r="RTV9" s="4"/>
      <c r="RTW9" s="4"/>
      <c r="RTX9" s="4"/>
      <c r="RTY9" s="4"/>
      <c r="RTZ9" s="4"/>
      <c r="RUA9" s="4"/>
      <c r="RUB9" s="4"/>
      <c r="RUC9" s="4"/>
      <c r="RUD9" s="4"/>
      <c r="RUE9" s="4"/>
      <c r="RUF9" s="4"/>
      <c r="RUG9" s="4"/>
      <c r="RUH9" s="4"/>
      <c r="RUI9" s="4"/>
      <c r="RUJ9" s="4"/>
      <c r="RUK9" s="4"/>
      <c r="RUL9" s="4"/>
      <c r="RUM9" s="4"/>
      <c r="RUN9" s="4"/>
      <c r="RUO9" s="4"/>
      <c r="RUP9" s="4"/>
      <c r="RUQ9" s="4"/>
      <c r="RUR9" s="4"/>
      <c r="RUS9" s="4"/>
      <c r="RUT9" s="4"/>
      <c r="RUU9" s="4"/>
      <c r="RUV9" s="4"/>
      <c r="RUW9" s="4"/>
      <c r="RUX9" s="4"/>
      <c r="RUY9" s="4"/>
      <c r="RUZ9" s="4"/>
      <c r="RVA9" s="4"/>
      <c r="RVB9" s="4"/>
      <c r="RVC9" s="4"/>
      <c r="RVD9" s="4"/>
      <c r="RVE9" s="4"/>
      <c r="RVF9" s="4"/>
      <c r="RVG9" s="4"/>
      <c r="RVH9" s="4"/>
      <c r="RVI9" s="4"/>
      <c r="RVJ9" s="4"/>
      <c r="RVK9" s="4"/>
      <c r="RVL9" s="4"/>
      <c r="RVM9" s="4"/>
      <c r="RVN9" s="4"/>
      <c r="RVO9" s="4"/>
      <c r="RVP9" s="4"/>
      <c r="RVQ9" s="4"/>
      <c r="RVR9" s="4"/>
      <c r="RVS9" s="4"/>
      <c r="RVT9" s="4"/>
      <c r="RVU9" s="4"/>
      <c r="RVV9" s="4"/>
      <c r="RVW9" s="4"/>
      <c r="RVX9" s="4"/>
      <c r="RVY9" s="4"/>
      <c r="RVZ9" s="4"/>
      <c r="RWA9" s="4"/>
      <c r="RWB9" s="4"/>
      <c r="RWC9" s="4"/>
      <c r="RWD9" s="4"/>
      <c r="RWE9" s="4"/>
      <c r="RWF9" s="4"/>
      <c r="RWG9" s="4"/>
      <c r="RWH9" s="4"/>
      <c r="RWI9" s="4"/>
      <c r="RWJ9" s="4"/>
      <c r="RWK9" s="4"/>
      <c r="RWL9" s="4"/>
      <c r="RWM9" s="4"/>
      <c r="RWN9" s="4"/>
      <c r="RWO9" s="4"/>
      <c r="RWP9" s="4"/>
      <c r="RWQ9" s="4"/>
      <c r="RWR9" s="4"/>
      <c r="RWS9" s="4"/>
      <c r="RWT9" s="4"/>
      <c r="RWU9" s="4"/>
      <c r="RWV9" s="4"/>
      <c r="RWW9" s="4"/>
      <c r="RWX9" s="4"/>
      <c r="RWY9" s="4"/>
      <c r="RWZ9" s="4"/>
      <c r="RXA9" s="4"/>
      <c r="RXB9" s="4"/>
      <c r="RXC9" s="4"/>
      <c r="RXD9" s="4"/>
      <c r="RXE9" s="4"/>
      <c r="RXF9" s="4"/>
      <c r="RXG9" s="4"/>
      <c r="RXH9" s="4"/>
      <c r="RXI9" s="4"/>
      <c r="RXJ9" s="4"/>
      <c r="RXK9" s="4"/>
      <c r="RXL9" s="4"/>
      <c r="RXM9" s="4"/>
      <c r="RXN9" s="4"/>
      <c r="RXO9" s="4"/>
      <c r="RXP9" s="4"/>
      <c r="RXQ9" s="4"/>
      <c r="RXR9" s="4"/>
      <c r="RXS9" s="4"/>
      <c r="RXT9" s="4"/>
      <c r="RXU9" s="4"/>
      <c r="RXV9" s="4"/>
      <c r="RXW9" s="4"/>
      <c r="RXX9" s="4"/>
      <c r="RXY9" s="4"/>
      <c r="RXZ9" s="4"/>
      <c r="RYA9" s="4"/>
      <c r="RYB9" s="4"/>
      <c r="RYC9" s="4"/>
      <c r="RYD9" s="4"/>
      <c r="RYE9" s="4"/>
      <c r="RYF9" s="4"/>
      <c r="RYG9" s="4"/>
      <c r="RYH9" s="4"/>
      <c r="RYI9" s="4"/>
      <c r="RYJ9" s="4"/>
      <c r="RYK9" s="4"/>
      <c r="RYL9" s="4"/>
      <c r="RYM9" s="4"/>
      <c r="RYN9" s="4"/>
      <c r="RYO9" s="4"/>
      <c r="RYP9" s="4"/>
      <c r="RYQ9" s="4"/>
      <c r="RYR9" s="4"/>
      <c r="RYS9" s="4"/>
      <c r="RYT9" s="4"/>
      <c r="RYU9" s="4"/>
      <c r="RYV9" s="4"/>
      <c r="RYW9" s="4"/>
      <c r="RYX9" s="4"/>
      <c r="RYY9" s="4"/>
      <c r="RYZ9" s="4"/>
      <c r="RZA9" s="4"/>
      <c r="RZB9" s="4"/>
      <c r="RZC9" s="4"/>
      <c r="RZD9" s="4"/>
      <c r="RZE9" s="4"/>
      <c r="RZF9" s="4"/>
      <c r="RZG9" s="4"/>
      <c r="RZH9" s="4"/>
      <c r="RZI9" s="4"/>
      <c r="RZJ9" s="4"/>
      <c r="RZK9" s="4"/>
      <c r="RZL9" s="4"/>
      <c r="RZM9" s="4"/>
      <c r="RZN9" s="4"/>
      <c r="RZO9" s="4"/>
      <c r="RZP9" s="4"/>
      <c r="RZQ9" s="4"/>
      <c r="RZR9" s="4"/>
      <c r="RZS9" s="4"/>
      <c r="RZT9" s="4"/>
      <c r="RZU9" s="4"/>
      <c r="RZV9" s="4"/>
      <c r="RZW9" s="4"/>
      <c r="RZX9" s="4"/>
      <c r="RZY9" s="4"/>
      <c r="RZZ9" s="4"/>
      <c r="SAA9" s="4"/>
      <c r="SAB9" s="4"/>
      <c r="SAC9" s="4"/>
      <c r="SAD9" s="4"/>
      <c r="SAE9" s="4"/>
      <c r="SAF9" s="4"/>
      <c r="SAG9" s="4"/>
      <c r="SAH9" s="4"/>
      <c r="SAI9" s="4"/>
      <c r="SAJ9" s="4"/>
      <c r="SAK9" s="4"/>
      <c r="SAL9" s="4"/>
      <c r="SAM9" s="4"/>
      <c r="SAN9" s="4"/>
      <c r="SAO9" s="4"/>
      <c r="SAP9" s="4"/>
      <c r="SAQ9" s="4"/>
      <c r="SAR9" s="4"/>
      <c r="SAS9" s="4"/>
      <c r="SAT9" s="4"/>
      <c r="SAU9" s="4"/>
      <c r="SAV9" s="4"/>
      <c r="SAW9" s="4"/>
      <c r="SAX9" s="4"/>
      <c r="SAY9" s="4"/>
      <c r="SAZ9" s="4"/>
      <c r="SBA9" s="4"/>
      <c r="SBB9" s="4"/>
      <c r="SBC9" s="4"/>
      <c r="SBD9" s="4"/>
      <c r="SBE9" s="4"/>
      <c r="SBF9" s="4"/>
      <c r="SBG9" s="4"/>
      <c r="SBH9" s="4"/>
      <c r="SBI9" s="4"/>
      <c r="SBJ9" s="4"/>
      <c r="SBK9" s="4"/>
      <c r="SBL9" s="4"/>
      <c r="SBM9" s="4"/>
      <c r="SBN9" s="4"/>
      <c r="SBO9" s="4"/>
      <c r="SBP9" s="4"/>
      <c r="SBQ9" s="4"/>
      <c r="SBR9" s="4"/>
      <c r="SBS9" s="4"/>
      <c r="SBT9" s="4"/>
      <c r="SBU9" s="4"/>
      <c r="SBV9" s="4"/>
      <c r="SBW9" s="4"/>
      <c r="SBX9" s="4"/>
      <c r="SBY9" s="4"/>
      <c r="SBZ9" s="4"/>
      <c r="SCA9" s="4"/>
      <c r="SCB9" s="4"/>
      <c r="SCC9" s="4"/>
      <c r="SCD9" s="4"/>
      <c r="SCE9" s="4"/>
      <c r="SCF9" s="4"/>
      <c r="SCG9" s="4"/>
      <c r="SCH9" s="4"/>
      <c r="SCI9" s="4"/>
      <c r="SCJ9" s="4"/>
      <c r="SCK9" s="4"/>
      <c r="SCL9" s="4"/>
      <c r="SCM9" s="4"/>
      <c r="SCN9" s="4"/>
      <c r="SCO9" s="4"/>
      <c r="SCP9" s="4"/>
      <c r="SCQ9" s="4"/>
      <c r="SCR9" s="4"/>
      <c r="SCS9" s="4"/>
      <c r="SCT9" s="4"/>
      <c r="SCU9" s="4"/>
      <c r="SCV9" s="4"/>
      <c r="SCW9" s="4"/>
      <c r="SCX9" s="4"/>
      <c r="SCY9" s="4"/>
      <c r="SCZ9" s="4"/>
      <c r="SDA9" s="4"/>
      <c r="SDB9" s="4"/>
      <c r="SDC9" s="4"/>
      <c r="SDD9" s="4"/>
      <c r="SDE9" s="4"/>
      <c r="SDF9" s="4"/>
      <c r="SDG9" s="4"/>
      <c r="SDH9" s="4"/>
      <c r="SDI9" s="4"/>
      <c r="SDJ9" s="4"/>
      <c r="SDK9" s="4"/>
      <c r="SDL9" s="4"/>
      <c r="SDM9" s="4"/>
      <c r="SDN9" s="4"/>
      <c r="SDO9" s="4"/>
      <c r="SDP9" s="4"/>
      <c r="SDQ9" s="4"/>
      <c r="SDR9" s="4"/>
      <c r="SDS9" s="4"/>
      <c r="SDT9" s="4"/>
      <c r="SDU9" s="4"/>
      <c r="SDV9" s="4"/>
      <c r="SDW9" s="4"/>
      <c r="SDX9" s="4"/>
      <c r="SDY9" s="4"/>
      <c r="SDZ9" s="4"/>
      <c r="SEA9" s="4"/>
      <c r="SEB9" s="4"/>
      <c r="SEC9" s="4"/>
      <c r="SED9" s="4"/>
      <c r="SEE9" s="4"/>
      <c r="SEF9" s="4"/>
      <c r="SEG9" s="4"/>
      <c r="SEH9" s="4"/>
      <c r="SEI9" s="4"/>
      <c r="SEJ9" s="4"/>
      <c r="SEK9" s="4"/>
      <c r="SEL9" s="4"/>
      <c r="SEM9" s="4"/>
      <c r="SEN9" s="4"/>
      <c r="SEO9" s="4"/>
      <c r="SEP9" s="4"/>
      <c r="SEQ9" s="4"/>
      <c r="SER9" s="4"/>
      <c r="SES9" s="4"/>
      <c r="SET9" s="4"/>
      <c r="SEU9" s="4"/>
      <c r="SEV9" s="4"/>
      <c r="SEW9" s="4"/>
      <c r="SEX9" s="4"/>
      <c r="SEY9" s="4"/>
      <c r="SEZ9" s="4"/>
      <c r="SFA9" s="4"/>
      <c r="SFB9" s="4"/>
      <c r="SFC9" s="4"/>
      <c r="SFD9" s="4"/>
      <c r="SFE9" s="4"/>
      <c r="SFF9" s="4"/>
      <c r="SFG9" s="4"/>
      <c r="SFH9" s="4"/>
      <c r="SFI9" s="4"/>
      <c r="SFJ9" s="4"/>
      <c r="SFK9" s="4"/>
      <c r="SFL9" s="4"/>
      <c r="SFM9" s="4"/>
      <c r="SFN9" s="4"/>
      <c r="SFO9" s="4"/>
      <c r="SFP9" s="4"/>
      <c r="SFQ9" s="4"/>
      <c r="SFR9" s="4"/>
      <c r="SFS9" s="4"/>
      <c r="SFT9" s="4"/>
      <c r="SFU9" s="4"/>
      <c r="SFV9" s="4"/>
      <c r="SFW9" s="4"/>
      <c r="SFX9" s="4"/>
      <c r="SFY9" s="4"/>
      <c r="SFZ9" s="4"/>
      <c r="SGA9" s="4"/>
      <c r="SGB9" s="4"/>
      <c r="SGC9" s="4"/>
      <c r="SGD9" s="4"/>
      <c r="SGE9" s="4"/>
      <c r="SGF9" s="4"/>
      <c r="SGG9" s="4"/>
      <c r="SGH9" s="4"/>
      <c r="SGI9" s="4"/>
      <c r="SGJ9" s="4"/>
      <c r="SGK9" s="4"/>
      <c r="SGL9" s="4"/>
      <c r="SGM9" s="4"/>
      <c r="SGN9" s="4"/>
      <c r="SGO9" s="4"/>
      <c r="SGP9" s="4"/>
      <c r="SGQ9" s="4"/>
      <c r="SGR9" s="4"/>
      <c r="SGS9" s="4"/>
      <c r="SGT9" s="4"/>
      <c r="SGU9" s="4"/>
      <c r="SGV9" s="4"/>
      <c r="SGW9" s="4"/>
      <c r="SGX9" s="4"/>
      <c r="SGY9" s="4"/>
      <c r="SGZ9" s="4"/>
      <c r="SHA9" s="4"/>
      <c r="SHB9" s="4"/>
      <c r="SHC9" s="4"/>
      <c r="SHD9" s="4"/>
      <c r="SHE9" s="4"/>
      <c r="SHF9" s="4"/>
      <c r="SHG9" s="4"/>
      <c r="SHH9" s="4"/>
      <c r="SHI9" s="4"/>
      <c r="SHJ9" s="4"/>
      <c r="SHK9" s="4"/>
      <c r="SHL9" s="4"/>
      <c r="SHM9" s="4"/>
      <c r="SHN9" s="4"/>
      <c r="SHO9" s="4"/>
      <c r="SHP9" s="4"/>
      <c r="SHQ9" s="4"/>
      <c r="SHR9" s="4"/>
      <c r="SHS9" s="4"/>
      <c r="SHT9" s="4"/>
      <c r="SHU9" s="4"/>
      <c r="SHV9" s="4"/>
      <c r="SHW9" s="4"/>
      <c r="SHX9" s="4"/>
      <c r="SHY9" s="4"/>
      <c r="SHZ9" s="4"/>
      <c r="SIA9" s="4"/>
      <c r="SIB9" s="4"/>
      <c r="SIC9" s="4"/>
      <c r="SID9" s="4"/>
      <c r="SIE9" s="4"/>
      <c r="SIF9" s="4"/>
      <c r="SIG9" s="4"/>
      <c r="SIH9" s="4"/>
      <c r="SII9" s="4"/>
      <c r="SIJ9" s="4"/>
      <c r="SIK9" s="4"/>
      <c r="SIL9" s="4"/>
      <c r="SIM9" s="4"/>
      <c r="SIN9" s="4"/>
      <c r="SIO9" s="4"/>
      <c r="SIP9" s="4"/>
      <c r="SIQ9" s="4"/>
      <c r="SIR9" s="4"/>
      <c r="SIS9" s="4"/>
      <c r="SIT9" s="4"/>
      <c r="SIU9" s="4"/>
      <c r="SIV9" s="4"/>
      <c r="SIW9" s="4"/>
      <c r="SIX9" s="4"/>
      <c r="SIY9" s="4"/>
      <c r="SIZ9" s="4"/>
      <c r="SJA9" s="4"/>
      <c r="SJB9" s="4"/>
      <c r="SJC9" s="4"/>
      <c r="SJD9" s="4"/>
      <c r="SJE9" s="4"/>
      <c r="SJF9" s="4"/>
      <c r="SJG9" s="4"/>
      <c r="SJH9" s="4"/>
      <c r="SJI9" s="4"/>
      <c r="SJJ9" s="4"/>
      <c r="SJK9" s="4"/>
      <c r="SJL9" s="4"/>
      <c r="SJM9" s="4"/>
      <c r="SJN9" s="4"/>
      <c r="SJO9" s="4"/>
      <c r="SJP9" s="4"/>
      <c r="SJQ9" s="4"/>
      <c r="SJR9" s="4"/>
      <c r="SJS9" s="4"/>
      <c r="SJT9" s="4"/>
      <c r="SJU9" s="4"/>
      <c r="SJV9" s="4"/>
      <c r="SJW9" s="4"/>
      <c r="SJX9" s="4"/>
      <c r="SJY9" s="4"/>
      <c r="SJZ9" s="4"/>
      <c r="SKA9" s="4"/>
      <c r="SKB9" s="4"/>
      <c r="SKC9" s="4"/>
      <c r="SKD9" s="4"/>
      <c r="SKE9" s="4"/>
      <c r="SKF9" s="4"/>
      <c r="SKG9" s="4"/>
      <c r="SKH9" s="4"/>
      <c r="SKI9" s="4"/>
      <c r="SKJ9" s="4"/>
      <c r="SKK9" s="4"/>
      <c r="SKL9" s="4"/>
      <c r="SKM9" s="4"/>
      <c r="SKN9" s="4"/>
      <c r="SKO9" s="4"/>
      <c r="SKP9" s="4"/>
      <c r="SKQ9" s="4"/>
      <c r="SKR9" s="4"/>
      <c r="SKS9" s="4"/>
      <c r="SKT9" s="4"/>
      <c r="SKU9" s="4"/>
      <c r="SKV9" s="4"/>
      <c r="SKW9" s="4"/>
      <c r="SKX9" s="4"/>
      <c r="SKY9" s="4"/>
      <c r="SKZ9" s="4"/>
      <c r="SLA9" s="4"/>
      <c r="SLB9" s="4"/>
      <c r="SLC9" s="4"/>
      <c r="SLD9" s="4"/>
      <c r="SLE9" s="4"/>
      <c r="SLF9" s="4"/>
      <c r="SLG9" s="4"/>
      <c r="SLH9" s="4"/>
      <c r="SLI9" s="4"/>
      <c r="SLJ9" s="4"/>
      <c r="SLK9" s="4"/>
      <c r="SLL9" s="4"/>
      <c r="SLM9" s="4"/>
      <c r="SLN9" s="4"/>
      <c r="SLO9" s="4"/>
      <c r="SLP9" s="4"/>
      <c r="SLQ9" s="4"/>
      <c r="SLR9" s="4"/>
      <c r="SLS9" s="4"/>
      <c r="SLT9" s="4"/>
      <c r="SLU9" s="4"/>
      <c r="SLV9" s="4"/>
      <c r="SLW9" s="4"/>
      <c r="SLX9" s="4"/>
      <c r="SLY9" s="4"/>
      <c r="SLZ9" s="4"/>
      <c r="SMA9" s="4"/>
      <c r="SMB9" s="4"/>
      <c r="SMC9" s="4"/>
      <c r="SMD9" s="4"/>
      <c r="SME9" s="4"/>
      <c r="SMF9" s="4"/>
      <c r="SMG9" s="4"/>
      <c r="SMH9" s="4"/>
      <c r="SMI9" s="4"/>
      <c r="SMJ9" s="4"/>
      <c r="SMK9" s="4"/>
      <c r="SML9" s="4"/>
      <c r="SMM9" s="4"/>
      <c r="SMN9" s="4"/>
      <c r="SMO9" s="4"/>
      <c r="SMP9" s="4"/>
      <c r="SMQ9" s="4"/>
      <c r="SMR9" s="4"/>
      <c r="SMS9" s="4"/>
      <c r="SMT9" s="4"/>
      <c r="SMU9" s="4"/>
      <c r="SMV9" s="4"/>
      <c r="SMW9" s="4"/>
      <c r="SMX9" s="4"/>
      <c r="SMY9" s="4"/>
      <c r="SMZ9" s="4"/>
      <c r="SNA9" s="4"/>
      <c r="SNB9" s="4"/>
      <c r="SNC9" s="4"/>
      <c r="SND9" s="4"/>
      <c r="SNE9" s="4"/>
      <c r="SNF9" s="4"/>
      <c r="SNG9" s="4"/>
      <c r="SNH9" s="4"/>
      <c r="SNI9" s="4"/>
      <c r="SNJ9" s="4"/>
      <c r="SNK9" s="4"/>
      <c r="SNL9" s="4"/>
      <c r="SNM9" s="4"/>
      <c r="SNN9" s="4"/>
      <c r="SNO9" s="4"/>
      <c r="SNP9" s="4"/>
      <c r="SNQ9" s="4"/>
      <c r="SNR9" s="4"/>
      <c r="SNS9" s="4"/>
      <c r="SNT9" s="4"/>
      <c r="SNU9" s="4"/>
      <c r="SNV9" s="4"/>
      <c r="SNW9" s="4"/>
      <c r="SNX9" s="4"/>
      <c r="SNY9" s="4"/>
      <c r="SNZ9" s="4"/>
      <c r="SOA9" s="4"/>
      <c r="SOB9" s="4"/>
      <c r="SOC9" s="4"/>
      <c r="SOD9" s="4"/>
      <c r="SOE9" s="4"/>
      <c r="SOF9" s="4"/>
      <c r="SOG9" s="4"/>
      <c r="SOH9" s="4"/>
      <c r="SOI9" s="4"/>
      <c r="SOJ9" s="4"/>
      <c r="SOK9" s="4"/>
      <c r="SOL9" s="4"/>
      <c r="SOM9" s="4"/>
      <c r="SON9" s="4"/>
      <c r="SOO9" s="4"/>
      <c r="SOP9" s="4"/>
      <c r="SOQ9" s="4"/>
      <c r="SOR9" s="4"/>
      <c r="SOS9" s="4"/>
      <c r="SOT9" s="4"/>
      <c r="SOU9" s="4"/>
      <c r="SOV9" s="4"/>
      <c r="SOW9" s="4"/>
      <c r="SOX9" s="4"/>
      <c r="SOY9" s="4"/>
      <c r="SOZ9" s="4"/>
      <c r="SPA9" s="4"/>
      <c r="SPB9" s="4"/>
      <c r="SPC9" s="4"/>
      <c r="SPD9" s="4"/>
      <c r="SPE9" s="4"/>
      <c r="SPF9" s="4"/>
      <c r="SPG9" s="4"/>
      <c r="SPH9" s="4"/>
      <c r="SPI9" s="4"/>
      <c r="SPJ9" s="4"/>
      <c r="SPK9" s="4"/>
      <c r="SPL9" s="4"/>
      <c r="SPM9" s="4"/>
      <c r="SPN9" s="4"/>
      <c r="SPO9" s="4"/>
      <c r="SPP9" s="4"/>
      <c r="SPQ9" s="4"/>
      <c r="SPR9" s="4"/>
      <c r="SPS9" s="4"/>
      <c r="SPT9" s="4"/>
      <c r="SPU9" s="4"/>
      <c r="SPV9" s="4"/>
      <c r="SPW9" s="4"/>
      <c r="SPX9" s="4"/>
      <c r="SPY9" s="4"/>
      <c r="SPZ9" s="4"/>
      <c r="SQA9" s="4"/>
      <c r="SQB9" s="4"/>
      <c r="SQC9" s="4"/>
      <c r="SQD9" s="4"/>
      <c r="SQE9" s="4"/>
      <c r="SQF9" s="4"/>
      <c r="SQG9" s="4"/>
      <c r="SQH9" s="4"/>
      <c r="SQI9" s="4"/>
      <c r="SQJ9" s="4"/>
      <c r="SQK9" s="4"/>
      <c r="SQL9" s="4"/>
      <c r="SQM9" s="4"/>
      <c r="SQN9" s="4"/>
      <c r="SQO9" s="4"/>
      <c r="SQP9" s="4"/>
      <c r="SQQ9" s="4"/>
      <c r="SQR9" s="4"/>
      <c r="SQS9" s="4"/>
      <c r="SQT9" s="4"/>
      <c r="SQU9" s="4"/>
      <c r="SQV9" s="4"/>
      <c r="SQW9" s="4"/>
      <c r="SQX9" s="4"/>
      <c r="SQY9" s="4"/>
      <c r="SQZ9" s="4"/>
      <c r="SRA9" s="4"/>
      <c r="SRB9" s="4"/>
      <c r="SRC9" s="4"/>
      <c r="SRD9" s="4"/>
      <c r="SRE9" s="4"/>
      <c r="SRF9" s="4"/>
      <c r="SRG9" s="4"/>
      <c r="SRH9" s="4"/>
      <c r="SRI9" s="4"/>
      <c r="SRJ9" s="4"/>
      <c r="SRK9" s="4"/>
      <c r="SRL9" s="4"/>
      <c r="SRM9" s="4"/>
      <c r="SRN9" s="4"/>
      <c r="SRO9" s="4"/>
      <c r="SRP9" s="4"/>
      <c r="SRQ9" s="4"/>
      <c r="SRR9" s="4"/>
      <c r="SRS9" s="4"/>
      <c r="SRT9" s="4"/>
      <c r="SRU9" s="4"/>
      <c r="SRV9" s="4"/>
      <c r="SRW9" s="4"/>
      <c r="SRX9" s="4"/>
      <c r="SRY9" s="4"/>
      <c r="SRZ9" s="4"/>
      <c r="SSA9" s="4"/>
      <c r="SSB9" s="4"/>
      <c r="SSC9" s="4"/>
      <c r="SSD9" s="4"/>
      <c r="SSE9" s="4"/>
      <c r="SSF9" s="4"/>
      <c r="SSG9" s="4"/>
      <c r="SSH9" s="4"/>
      <c r="SSI9" s="4"/>
      <c r="SSJ9" s="4"/>
      <c r="SSK9" s="4"/>
      <c r="SSL9" s="4"/>
      <c r="SSM9" s="4"/>
      <c r="SSN9" s="4"/>
      <c r="SSO9" s="4"/>
      <c r="SSP9" s="4"/>
      <c r="SSQ9" s="4"/>
      <c r="SSR9" s="4"/>
      <c r="SSS9" s="4"/>
      <c r="SST9" s="4"/>
      <c r="SSU9" s="4"/>
      <c r="SSV9" s="4"/>
      <c r="SSW9" s="4"/>
      <c r="SSX9" s="4"/>
      <c r="SSY9" s="4"/>
      <c r="SSZ9" s="4"/>
      <c r="STA9" s="4"/>
      <c r="STB9" s="4"/>
      <c r="STC9" s="4"/>
      <c r="STD9" s="4"/>
      <c r="STE9" s="4"/>
      <c r="STF9" s="4"/>
      <c r="STG9" s="4"/>
      <c r="STH9" s="4"/>
      <c r="STI9" s="4"/>
      <c r="STJ9" s="4"/>
      <c r="STK9" s="4"/>
      <c r="STL9" s="4"/>
      <c r="STM9" s="4"/>
      <c r="STN9" s="4"/>
      <c r="STO9" s="4"/>
      <c r="STP9" s="4"/>
      <c r="STQ9" s="4"/>
      <c r="STR9" s="4"/>
      <c r="STS9" s="4"/>
      <c r="STT9" s="4"/>
      <c r="STU9" s="4"/>
      <c r="STV9" s="4"/>
      <c r="STW9" s="4"/>
      <c r="STX9" s="4"/>
      <c r="STY9" s="4"/>
      <c r="STZ9" s="4"/>
      <c r="SUA9" s="4"/>
      <c r="SUB9" s="4"/>
      <c r="SUC9" s="4"/>
      <c r="SUD9" s="4"/>
      <c r="SUE9" s="4"/>
      <c r="SUF9" s="4"/>
      <c r="SUG9" s="4"/>
      <c r="SUH9" s="4"/>
      <c r="SUI9" s="4"/>
      <c r="SUJ9" s="4"/>
      <c r="SUK9" s="4"/>
      <c r="SUL9" s="4"/>
      <c r="SUM9" s="4"/>
      <c r="SUN9" s="4"/>
      <c r="SUO9" s="4"/>
      <c r="SUP9" s="4"/>
      <c r="SUQ9" s="4"/>
      <c r="SUR9" s="4"/>
      <c r="SUS9" s="4"/>
      <c r="SUT9" s="4"/>
      <c r="SUU9" s="4"/>
      <c r="SUV9" s="4"/>
      <c r="SUW9" s="4"/>
      <c r="SUX9" s="4"/>
      <c r="SUY9" s="4"/>
      <c r="SUZ9" s="4"/>
      <c r="SVA9" s="4"/>
      <c r="SVB9" s="4"/>
      <c r="SVC9" s="4"/>
      <c r="SVD9" s="4"/>
      <c r="SVE9" s="4"/>
      <c r="SVF9" s="4"/>
      <c r="SVG9" s="4"/>
      <c r="SVH9" s="4"/>
      <c r="SVI9" s="4"/>
      <c r="SVJ9" s="4"/>
      <c r="SVK9" s="4"/>
      <c r="SVL9" s="4"/>
      <c r="SVM9" s="4"/>
      <c r="SVN9" s="4"/>
      <c r="SVO9" s="4"/>
      <c r="SVP9" s="4"/>
      <c r="SVQ9" s="4"/>
      <c r="SVR9" s="4"/>
      <c r="SVS9" s="4"/>
      <c r="SVT9" s="4"/>
      <c r="SVU9" s="4"/>
      <c r="SVV9" s="4"/>
      <c r="SVW9" s="4"/>
      <c r="SVX9" s="4"/>
      <c r="SVY9" s="4"/>
      <c r="SVZ9" s="4"/>
      <c r="SWA9" s="4"/>
      <c r="SWB9" s="4"/>
      <c r="SWC9" s="4"/>
      <c r="SWD9" s="4"/>
      <c r="SWE9" s="4"/>
      <c r="SWF9" s="4"/>
      <c r="SWG9" s="4"/>
      <c r="SWH9" s="4"/>
      <c r="SWI9" s="4"/>
      <c r="SWJ9" s="4"/>
      <c r="SWK9" s="4"/>
      <c r="SWL9" s="4"/>
      <c r="SWM9" s="4"/>
      <c r="SWN9" s="4"/>
      <c r="SWO9" s="4"/>
      <c r="SWP9" s="4"/>
      <c r="SWQ9" s="4"/>
      <c r="SWR9" s="4"/>
      <c r="SWS9" s="4"/>
      <c r="SWT9" s="4"/>
      <c r="SWU9" s="4"/>
      <c r="SWV9" s="4"/>
      <c r="SWW9" s="4"/>
      <c r="SWX9" s="4"/>
      <c r="SWY9" s="4"/>
      <c r="SWZ9" s="4"/>
      <c r="SXA9" s="4"/>
      <c r="SXB9" s="4"/>
      <c r="SXC9" s="4"/>
      <c r="SXD9" s="4"/>
      <c r="SXE9" s="4"/>
      <c r="SXF9" s="4"/>
      <c r="SXG9" s="4"/>
      <c r="SXH9" s="4"/>
      <c r="SXI9" s="4"/>
      <c r="SXJ9" s="4"/>
      <c r="SXK9" s="4"/>
      <c r="SXL9" s="4"/>
      <c r="SXM9" s="4"/>
      <c r="SXN9" s="4"/>
      <c r="SXO9" s="4"/>
      <c r="SXP9" s="4"/>
      <c r="SXQ9" s="4"/>
      <c r="SXR9" s="4"/>
      <c r="SXS9" s="4"/>
      <c r="SXT9" s="4"/>
      <c r="SXU9" s="4"/>
      <c r="SXV9" s="4"/>
      <c r="SXW9" s="4"/>
      <c r="SXX9" s="4"/>
      <c r="SXY9" s="4"/>
      <c r="SXZ9" s="4"/>
      <c r="SYA9" s="4"/>
      <c r="SYB9" s="4"/>
      <c r="SYC9" s="4"/>
      <c r="SYD9" s="4"/>
      <c r="SYE9" s="4"/>
      <c r="SYF9" s="4"/>
      <c r="SYG9" s="4"/>
      <c r="SYH9" s="4"/>
      <c r="SYI9" s="4"/>
      <c r="SYJ9" s="4"/>
      <c r="SYK9" s="4"/>
      <c r="SYL9" s="4"/>
      <c r="SYM9" s="4"/>
      <c r="SYN9" s="4"/>
      <c r="SYO9" s="4"/>
      <c r="SYP9" s="4"/>
      <c r="SYQ9" s="4"/>
      <c r="SYR9" s="4"/>
      <c r="SYS9" s="4"/>
      <c r="SYT9" s="4"/>
      <c r="SYU9" s="4"/>
      <c r="SYV9" s="4"/>
      <c r="SYW9" s="4"/>
      <c r="SYX9" s="4"/>
      <c r="SYY9" s="4"/>
      <c r="SYZ9" s="4"/>
      <c r="SZA9" s="4"/>
      <c r="SZB9" s="4"/>
      <c r="SZC9" s="4"/>
      <c r="SZD9" s="4"/>
      <c r="SZE9" s="4"/>
      <c r="SZF9" s="4"/>
      <c r="SZG9" s="4"/>
      <c r="SZH9" s="4"/>
      <c r="SZI9" s="4"/>
      <c r="SZJ9" s="4"/>
      <c r="SZK9" s="4"/>
      <c r="SZL9" s="4"/>
      <c r="SZM9" s="4"/>
      <c r="SZN9" s="4"/>
      <c r="SZO9" s="4"/>
      <c r="SZP9" s="4"/>
      <c r="SZQ9" s="4"/>
      <c r="SZR9" s="4"/>
      <c r="SZS9" s="4"/>
      <c r="SZT9" s="4"/>
      <c r="SZU9" s="4"/>
      <c r="SZV9" s="4"/>
      <c r="SZW9" s="4"/>
      <c r="SZX9" s="4"/>
      <c r="SZY9" s="4"/>
      <c r="SZZ9" s="4"/>
      <c r="TAA9" s="4"/>
      <c r="TAB9" s="4"/>
      <c r="TAC9" s="4"/>
      <c r="TAD9" s="4"/>
      <c r="TAE9" s="4"/>
      <c r="TAF9" s="4"/>
      <c r="TAG9" s="4"/>
      <c r="TAH9" s="4"/>
      <c r="TAI9" s="4"/>
      <c r="TAJ9" s="4"/>
      <c r="TAK9" s="4"/>
      <c r="TAL9" s="4"/>
      <c r="TAM9" s="4"/>
      <c r="TAN9" s="4"/>
      <c r="TAO9" s="4"/>
      <c r="TAP9" s="4"/>
      <c r="TAQ9" s="4"/>
      <c r="TAR9" s="4"/>
      <c r="TAS9" s="4"/>
      <c r="TAT9" s="4"/>
      <c r="TAU9" s="4"/>
      <c r="TAV9" s="4"/>
      <c r="TAW9" s="4"/>
      <c r="TAX9" s="4"/>
      <c r="TAY9" s="4"/>
      <c r="TAZ9" s="4"/>
      <c r="TBA9" s="4"/>
      <c r="TBB9" s="4"/>
      <c r="TBC9" s="4"/>
      <c r="TBD9" s="4"/>
      <c r="TBE9" s="4"/>
      <c r="TBF9" s="4"/>
      <c r="TBG9" s="4"/>
      <c r="TBH9" s="4"/>
      <c r="TBI9" s="4"/>
      <c r="TBJ9" s="4"/>
      <c r="TBK9" s="4"/>
      <c r="TBL9" s="4"/>
      <c r="TBM9" s="4"/>
      <c r="TBN9" s="4"/>
      <c r="TBO9" s="4"/>
      <c r="TBP9" s="4"/>
      <c r="TBQ9" s="4"/>
      <c r="TBR9" s="4"/>
      <c r="TBS9" s="4"/>
      <c r="TBT9" s="4"/>
      <c r="TBU9" s="4"/>
      <c r="TBV9" s="4"/>
      <c r="TBW9" s="4"/>
      <c r="TBX9" s="4"/>
      <c r="TBY9" s="4"/>
      <c r="TBZ9" s="4"/>
      <c r="TCA9" s="4"/>
      <c r="TCB9" s="4"/>
      <c r="TCC9" s="4"/>
      <c r="TCD9" s="4"/>
      <c r="TCE9" s="4"/>
      <c r="TCF9" s="4"/>
      <c r="TCG9" s="4"/>
      <c r="TCH9" s="4"/>
      <c r="TCI9" s="4"/>
      <c r="TCJ9" s="4"/>
      <c r="TCK9" s="4"/>
      <c r="TCL9" s="4"/>
      <c r="TCM9" s="4"/>
      <c r="TCN9" s="4"/>
      <c r="TCO9" s="4"/>
      <c r="TCP9" s="4"/>
      <c r="TCQ9" s="4"/>
      <c r="TCR9" s="4"/>
      <c r="TCS9" s="4"/>
      <c r="TCT9" s="4"/>
      <c r="TCU9" s="4"/>
      <c r="TCV9" s="4"/>
      <c r="TCW9" s="4"/>
      <c r="TCX9" s="4"/>
      <c r="TCY9" s="4"/>
      <c r="TCZ9" s="4"/>
      <c r="TDA9" s="4"/>
      <c r="TDB9" s="4"/>
      <c r="TDC9" s="4"/>
      <c r="TDD9" s="4"/>
      <c r="TDE9" s="4"/>
      <c r="TDF9" s="4"/>
      <c r="TDG9" s="4"/>
      <c r="TDH9" s="4"/>
      <c r="TDI9" s="4"/>
      <c r="TDJ9" s="4"/>
      <c r="TDK9" s="4"/>
      <c r="TDL9" s="4"/>
      <c r="TDM9" s="4"/>
      <c r="TDN9" s="4"/>
      <c r="TDO9" s="4"/>
      <c r="TDP9" s="4"/>
      <c r="TDQ9" s="4"/>
      <c r="TDR9" s="4"/>
      <c r="TDS9" s="4"/>
      <c r="TDT9" s="4"/>
      <c r="TDU9" s="4"/>
      <c r="TDV9" s="4"/>
      <c r="TDW9" s="4"/>
      <c r="TDX9" s="4"/>
      <c r="TDY9" s="4"/>
      <c r="TDZ9" s="4"/>
      <c r="TEA9" s="4"/>
      <c r="TEB9" s="4"/>
      <c r="TEC9" s="4"/>
      <c r="TED9" s="4"/>
      <c r="TEE9" s="4"/>
      <c r="TEF9" s="4"/>
      <c r="TEG9" s="4"/>
      <c r="TEH9" s="4"/>
      <c r="TEI9" s="4"/>
      <c r="TEJ9" s="4"/>
      <c r="TEK9" s="4"/>
      <c r="TEL9" s="4"/>
      <c r="TEM9" s="4"/>
      <c r="TEN9" s="4"/>
      <c r="TEO9" s="4"/>
      <c r="TEP9" s="4"/>
      <c r="TEQ9" s="4"/>
      <c r="TER9" s="4"/>
      <c r="TES9" s="4"/>
      <c r="TET9" s="4"/>
      <c r="TEU9" s="4"/>
      <c r="TEV9" s="4"/>
      <c r="TEW9" s="4"/>
      <c r="TEX9" s="4"/>
      <c r="TEY9" s="4"/>
      <c r="TEZ9" s="4"/>
      <c r="TFA9" s="4"/>
      <c r="TFB9" s="4"/>
      <c r="TFC9" s="4"/>
      <c r="TFD9" s="4"/>
      <c r="TFE9" s="4"/>
      <c r="TFF9" s="4"/>
      <c r="TFG9" s="4"/>
      <c r="TFH9" s="4"/>
      <c r="TFI9" s="4"/>
      <c r="TFJ9" s="4"/>
      <c r="TFK9" s="4"/>
      <c r="TFL9" s="4"/>
      <c r="TFM9" s="4"/>
      <c r="TFN9" s="4"/>
      <c r="TFO9" s="4"/>
      <c r="TFP9" s="4"/>
      <c r="TFQ9" s="4"/>
      <c r="TFR9" s="4"/>
      <c r="TFS9" s="4"/>
      <c r="TFT9" s="4"/>
      <c r="TFU9" s="4"/>
      <c r="TFV9" s="4"/>
      <c r="TFW9" s="4"/>
      <c r="TFX9" s="4"/>
      <c r="TFY9" s="4"/>
      <c r="TFZ9" s="4"/>
      <c r="TGA9" s="4"/>
      <c r="TGB9" s="4"/>
      <c r="TGC9" s="4"/>
      <c r="TGD9" s="4"/>
      <c r="TGE9" s="4"/>
      <c r="TGF9" s="4"/>
      <c r="TGG9" s="4"/>
      <c r="TGH9" s="4"/>
      <c r="TGI9" s="4"/>
      <c r="TGJ9" s="4"/>
      <c r="TGK9" s="4"/>
      <c r="TGL9" s="4"/>
      <c r="TGM9" s="4"/>
      <c r="TGN9" s="4"/>
      <c r="TGO9" s="4"/>
      <c r="TGP9" s="4"/>
      <c r="TGQ9" s="4"/>
      <c r="TGR9" s="4"/>
      <c r="TGS9" s="4"/>
      <c r="TGT9" s="4"/>
      <c r="TGU9" s="4"/>
      <c r="TGV9" s="4"/>
      <c r="TGW9" s="4"/>
      <c r="TGX9" s="4"/>
      <c r="TGY9" s="4"/>
      <c r="TGZ9" s="4"/>
      <c r="THA9" s="4"/>
      <c r="THB9" s="4"/>
      <c r="THC9" s="4"/>
      <c r="THD9" s="4"/>
      <c r="THE9" s="4"/>
      <c r="THF9" s="4"/>
      <c r="THG9" s="4"/>
      <c r="THH9" s="4"/>
      <c r="THI9" s="4"/>
      <c r="THJ9" s="4"/>
      <c r="THK9" s="4"/>
      <c r="THL9" s="4"/>
      <c r="THM9" s="4"/>
      <c r="THN9" s="4"/>
      <c r="THO9" s="4"/>
      <c r="THP9" s="4"/>
      <c r="THQ9" s="4"/>
      <c r="THR9" s="4"/>
      <c r="THS9" s="4"/>
      <c r="THT9" s="4"/>
      <c r="THU9" s="4"/>
      <c r="THV9" s="4"/>
      <c r="THW9" s="4"/>
      <c r="THX9" s="4"/>
      <c r="THY9" s="4"/>
      <c r="THZ9" s="4"/>
      <c r="TIA9" s="4"/>
      <c r="TIB9" s="4"/>
      <c r="TIC9" s="4"/>
      <c r="TID9" s="4"/>
      <c r="TIE9" s="4"/>
      <c r="TIF9" s="4"/>
      <c r="TIG9" s="4"/>
      <c r="TIH9" s="4"/>
      <c r="TII9" s="4"/>
      <c r="TIJ9" s="4"/>
      <c r="TIK9" s="4"/>
      <c r="TIL9" s="4"/>
      <c r="TIM9" s="4"/>
      <c r="TIN9" s="4"/>
      <c r="TIO9" s="4"/>
      <c r="TIP9" s="4"/>
      <c r="TIQ9" s="4"/>
      <c r="TIR9" s="4"/>
      <c r="TIS9" s="4"/>
      <c r="TIT9" s="4"/>
      <c r="TIU9" s="4"/>
      <c r="TIV9" s="4"/>
      <c r="TIW9" s="4"/>
      <c r="TIX9" s="4"/>
      <c r="TIY9" s="4"/>
      <c r="TIZ9" s="4"/>
      <c r="TJA9" s="4"/>
      <c r="TJB9" s="4"/>
      <c r="TJC9" s="4"/>
      <c r="TJD9" s="4"/>
      <c r="TJE9" s="4"/>
      <c r="TJF9" s="4"/>
      <c r="TJG9" s="4"/>
      <c r="TJH9" s="4"/>
      <c r="TJI9" s="4"/>
      <c r="TJJ9" s="4"/>
      <c r="TJK9" s="4"/>
      <c r="TJL9" s="4"/>
      <c r="TJM9" s="4"/>
      <c r="TJN9" s="4"/>
      <c r="TJO9" s="4"/>
      <c r="TJP9" s="4"/>
      <c r="TJQ9" s="4"/>
      <c r="TJR9" s="4"/>
      <c r="TJS9" s="4"/>
      <c r="TJT9" s="4"/>
      <c r="TJU9" s="4"/>
      <c r="TJV9" s="4"/>
      <c r="TJW9" s="4"/>
      <c r="TJX9" s="4"/>
      <c r="TJY9" s="4"/>
      <c r="TJZ9" s="4"/>
      <c r="TKA9" s="4"/>
      <c r="TKB9" s="4"/>
      <c r="TKC9" s="4"/>
      <c r="TKD9" s="4"/>
      <c r="TKE9" s="4"/>
      <c r="TKF9" s="4"/>
      <c r="TKG9" s="4"/>
      <c r="TKH9" s="4"/>
      <c r="TKI9" s="4"/>
      <c r="TKJ9" s="4"/>
      <c r="TKK9" s="4"/>
      <c r="TKL9" s="4"/>
      <c r="TKM9" s="4"/>
      <c r="TKN9" s="4"/>
      <c r="TKO9" s="4"/>
      <c r="TKP9" s="4"/>
      <c r="TKQ9" s="4"/>
      <c r="TKR9" s="4"/>
      <c r="TKS9" s="4"/>
      <c r="TKT9" s="4"/>
      <c r="TKU9" s="4"/>
      <c r="TKV9" s="4"/>
      <c r="TKW9" s="4"/>
      <c r="TKX9" s="4"/>
      <c r="TKY9" s="4"/>
      <c r="TKZ9" s="4"/>
      <c r="TLA9" s="4"/>
      <c r="TLB9" s="4"/>
      <c r="TLC9" s="4"/>
      <c r="TLD9" s="4"/>
      <c r="TLE9" s="4"/>
      <c r="TLF9" s="4"/>
      <c r="TLG9" s="4"/>
      <c r="TLH9" s="4"/>
      <c r="TLI9" s="4"/>
      <c r="TLJ9" s="4"/>
      <c r="TLK9" s="4"/>
      <c r="TLL9" s="4"/>
      <c r="TLM9" s="4"/>
      <c r="TLN9" s="4"/>
      <c r="TLO9" s="4"/>
      <c r="TLP9" s="4"/>
      <c r="TLQ9" s="4"/>
      <c r="TLR9" s="4"/>
      <c r="TLS9" s="4"/>
      <c r="TLT9" s="4"/>
      <c r="TLU9" s="4"/>
      <c r="TLV9" s="4"/>
      <c r="TLW9" s="4"/>
      <c r="TLX9" s="4"/>
      <c r="TLY9" s="4"/>
      <c r="TLZ9" s="4"/>
      <c r="TMA9" s="4"/>
      <c r="TMB9" s="4"/>
      <c r="TMC9" s="4"/>
      <c r="TMD9" s="4"/>
      <c r="TME9" s="4"/>
      <c r="TMF9" s="4"/>
      <c r="TMG9" s="4"/>
      <c r="TMH9" s="4"/>
      <c r="TMI9" s="4"/>
      <c r="TMJ9" s="4"/>
      <c r="TMK9" s="4"/>
      <c r="TML9" s="4"/>
      <c r="TMM9" s="4"/>
      <c r="TMN9" s="4"/>
      <c r="TMO9" s="4"/>
      <c r="TMP9" s="4"/>
      <c r="TMQ9" s="4"/>
      <c r="TMR9" s="4"/>
      <c r="TMS9" s="4"/>
      <c r="TMT9" s="4"/>
      <c r="TMU9" s="4"/>
      <c r="TMV9" s="4"/>
      <c r="TMW9" s="4"/>
      <c r="TMX9" s="4"/>
      <c r="TMY9" s="4"/>
      <c r="TMZ9" s="4"/>
      <c r="TNA9" s="4"/>
      <c r="TNB9" s="4"/>
      <c r="TNC9" s="4"/>
      <c r="TND9" s="4"/>
      <c r="TNE9" s="4"/>
      <c r="TNF9" s="4"/>
      <c r="TNG9" s="4"/>
      <c r="TNH9" s="4"/>
      <c r="TNI9" s="4"/>
      <c r="TNJ9" s="4"/>
      <c r="TNK9" s="4"/>
      <c r="TNL9" s="4"/>
      <c r="TNM9" s="4"/>
      <c r="TNN9" s="4"/>
      <c r="TNO9" s="4"/>
      <c r="TNP9" s="4"/>
      <c r="TNQ9" s="4"/>
      <c r="TNR9" s="4"/>
      <c r="TNS9" s="4"/>
      <c r="TNT9" s="4"/>
      <c r="TNU9" s="4"/>
      <c r="TNV9" s="4"/>
      <c r="TNW9" s="4"/>
      <c r="TNX9" s="4"/>
      <c r="TNY9" s="4"/>
      <c r="TNZ9" s="4"/>
      <c r="TOA9" s="4"/>
      <c r="TOB9" s="4"/>
      <c r="TOC9" s="4"/>
      <c r="TOD9" s="4"/>
      <c r="TOE9" s="4"/>
      <c r="TOF9" s="4"/>
      <c r="TOG9" s="4"/>
      <c r="TOH9" s="4"/>
      <c r="TOI9" s="4"/>
      <c r="TOJ9" s="4"/>
      <c r="TOK9" s="4"/>
      <c r="TOL9" s="4"/>
      <c r="TOM9" s="4"/>
      <c r="TON9" s="4"/>
      <c r="TOO9" s="4"/>
      <c r="TOP9" s="4"/>
      <c r="TOQ9" s="4"/>
      <c r="TOR9" s="4"/>
      <c r="TOS9" s="4"/>
      <c r="TOT9" s="4"/>
      <c r="TOU9" s="4"/>
      <c r="TOV9" s="4"/>
      <c r="TOW9" s="4"/>
      <c r="TOX9" s="4"/>
      <c r="TOY9" s="4"/>
      <c r="TOZ9" s="4"/>
      <c r="TPA9" s="4"/>
      <c r="TPB9" s="4"/>
      <c r="TPC9" s="4"/>
      <c r="TPD9" s="4"/>
      <c r="TPE9" s="4"/>
      <c r="TPF9" s="4"/>
      <c r="TPG9" s="4"/>
      <c r="TPH9" s="4"/>
      <c r="TPI9" s="4"/>
      <c r="TPJ9" s="4"/>
      <c r="TPK9" s="4"/>
      <c r="TPL9" s="4"/>
      <c r="TPM9" s="4"/>
      <c r="TPN9" s="4"/>
      <c r="TPO9" s="4"/>
      <c r="TPP9" s="4"/>
      <c r="TPQ9" s="4"/>
      <c r="TPR9" s="4"/>
      <c r="TPS9" s="4"/>
      <c r="TPT9" s="4"/>
      <c r="TPU9" s="4"/>
      <c r="TPV9" s="4"/>
      <c r="TPW9" s="4"/>
      <c r="TPX9" s="4"/>
      <c r="TPY9" s="4"/>
      <c r="TPZ9" s="4"/>
      <c r="TQA9" s="4"/>
      <c r="TQB9" s="4"/>
      <c r="TQC9" s="4"/>
      <c r="TQD9" s="4"/>
      <c r="TQE9" s="4"/>
      <c r="TQF9" s="4"/>
      <c r="TQG9" s="4"/>
      <c r="TQH9" s="4"/>
      <c r="TQI9" s="4"/>
      <c r="TQJ9" s="4"/>
      <c r="TQK9" s="4"/>
      <c r="TQL9" s="4"/>
      <c r="TQM9" s="4"/>
      <c r="TQN9" s="4"/>
      <c r="TQO9" s="4"/>
      <c r="TQP9" s="4"/>
      <c r="TQQ9" s="4"/>
      <c r="TQR9" s="4"/>
      <c r="TQS9" s="4"/>
      <c r="TQT9" s="4"/>
      <c r="TQU9" s="4"/>
      <c r="TQV9" s="4"/>
      <c r="TQW9" s="4"/>
      <c r="TQX9" s="4"/>
      <c r="TQY9" s="4"/>
      <c r="TQZ9" s="4"/>
      <c r="TRA9" s="4"/>
      <c r="TRB9" s="4"/>
      <c r="TRC9" s="4"/>
      <c r="TRD9" s="4"/>
      <c r="TRE9" s="4"/>
      <c r="TRF9" s="4"/>
      <c r="TRG9" s="4"/>
      <c r="TRH9" s="4"/>
      <c r="TRI9" s="4"/>
      <c r="TRJ9" s="4"/>
      <c r="TRK9" s="4"/>
      <c r="TRL9" s="4"/>
      <c r="TRM9" s="4"/>
      <c r="TRN9" s="4"/>
      <c r="TRO9" s="4"/>
      <c r="TRP9" s="4"/>
      <c r="TRQ9" s="4"/>
      <c r="TRR9" s="4"/>
      <c r="TRS9" s="4"/>
      <c r="TRT9" s="4"/>
      <c r="TRU9" s="4"/>
      <c r="TRV9" s="4"/>
      <c r="TRW9" s="4"/>
      <c r="TRX9" s="4"/>
      <c r="TRY9" s="4"/>
      <c r="TRZ9" s="4"/>
      <c r="TSA9" s="4"/>
      <c r="TSB9" s="4"/>
      <c r="TSC9" s="4"/>
      <c r="TSD9" s="4"/>
      <c r="TSE9" s="4"/>
      <c r="TSF9" s="4"/>
      <c r="TSG9" s="4"/>
      <c r="TSH9" s="4"/>
      <c r="TSI9" s="4"/>
      <c r="TSJ9" s="4"/>
      <c r="TSK9" s="4"/>
      <c r="TSL9" s="4"/>
      <c r="TSM9" s="4"/>
      <c r="TSN9" s="4"/>
      <c r="TSO9" s="4"/>
      <c r="TSP9" s="4"/>
      <c r="TSQ9" s="4"/>
      <c r="TSR9" s="4"/>
      <c r="TSS9" s="4"/>
      <c r="TST9" s="4"/>
      <c r="TSU9" s="4"/>
      <c r="TSV9" s="4"/>
      <c r="TSW9" s="4"/>
      <c r="TSX9" s="4"/>
      <c r="TSY9" s="4"/>
      <c r="TSZ9" s="4"/>
      <c r="TTA9" s="4"/>
      <c r="TTB9" s="4"/>
      <c r="TTC9" s="4"/>
      <c r="TTD9" s="4"/>
      <c r="TTE9" s="4"/>
      <c r="TTF9" s="4"/>
      <c r="TTG9" s="4"/>
      <c r="TTH9" s="4"/>
      <c r="TTI9" s="4"/>
      <c r="TTJ9" s="4"/>
      <c r="TTK9" s="4"/>
      <c r="TTL9" s="4"/>
      <c r="TTM9" s="4"/>
      <c r="TTN9" s="4"/>
      <c r="TTO9" s="4"/>
      <c r="TTP9" s="4"/>
      <c r="TTQ9" s="4"/>
      <c r="TTR9" s="4"/>
      <c r="TTS9" s="4"/>
      <c r="TTT9" s="4"/>
      <c r="TTU9" s="4"/>
      <c r="TTV9" s="4"/>
      <c r="TTW9" s="4"/>
      <c r="TTX9" s="4"/>
      <c r="TTY9" s="4"/>
      <c r="TTZ9" s="4"/>
      <c r="TUA9" s="4"/>
      <c r="TUB9" s="4"/>
      <c r="TUC9" s="4"/>
      <c r="TUD9" s="4"/>
      <c r="TUE9" s="4"/>
      <c r="TUF9" s="4"/>
      <c r="TUG9" s="4"/>
      <c r="TUH9" s="4"/>
      <c r="TUI9" s="4"/>
      <c r="TUJ9" s="4"/>
      <c r="TUK9" s="4"/>
      <c r="TUL9" s="4"/>
      <c r="TUM9" s="4"/>
      <c r="TUN9" s="4"/>
      <c r="TUO9" s="4"/>
      <c r="TUP9" s="4"/>
      <c r="TUQ9" s="4"/>
      <c r="TUR9" s="4"/>
      <c r="TUS9" s="4"/>
      <c r="TUT9" s="4"/>
      <c r="TUU9" s="4"/>
      <c r="TUV9" s="4"/>
      <c r="TUW9" s="4"/>
      <c r="TUX9" s="4"/>
      <c r="TUY9" s="4"/>
      <c r="TUZ9" s="4"/>
      <c r="TVA9" s="4"/>
      <c r="TVB9" s="4"/>
      <c r="TVC9" s="4"/>
      <c r="TVD9" s="4"/>
      <c r="TVE9" s="4"/>
      <c r="TVF9" s="4"/>
      <c r="TVG9" s="4"/>
      <c r="TVH9" s="4"/>
      <c r="TVI9" s="4"/>
      <c r="TVJ9" s="4"/>
      <c r="TVK9" s="4"/>
      <c r="TVL9" s="4"/>
      <c r="TVM9" s="4"/>
      <c r="TVN9" s="4"/>
      <c r="TVO9" s="4"/>
      <c r="TVP9" s="4"/>
      <c r="TVQ9" s="4"/>
      <c r="TVR9" s="4"/>
      <c r="TVS9" s="4"/>
      <c r="TVT9" s="4"/>
      <c r="TVU9" s="4"/>
      <c r="TVV9" s="4"/>
      <c r="TVW9" s="4"/>
      <c r="TVX9" s="4"/>
      <c r="TVY9" s="4"/>
      <c r="TVZ9" s="4"/>
      <c r="TWA9" s="4"/>
      <c r="TWB9" s="4"/>
      <c r="TWC9" s="4"/>
      <c r="TWD9" s="4"/>
      <c r="TWE9" s="4"/>
      <c r="TWF9" s="4"/>
      <c r="TWG9" s="4"/>
      <c r="TWH9" s="4"/>
      <c r="TWI9" s="4"/>
      <c r="TWJ9" s="4"/>
      <c r="TWK9" s="4"/>
      <c r="TWL9" s="4"/>
      <c r="TWM9" s="4"/>
      <c r="TWN9" s="4"/>
      <c r="TWO9" s="4"/>
      <c r="TWP9" s="4"/>
      <c r="TWQ9" s="4"/>
      <c r="TWR9" s="4"/>
      <c r="TWS9" s="4"/>
      <c r="TWT9" s="4"/>
      <c r="TWU9" s="4"/>
      <c r="TWV9" s="4"/>
      <c r="TWW9" s="4"/>
      <c r="TWX9" s="4"/>
      <c r="TWY9" s="4"/>
      <c r="TWZ9" s="4"/>
      <c r="TXA9" s="4"/>
      <c r="TXB9" s="4"/>
      <c r="TXC9" s="4"/>
      <c r="TXD9" s="4"/>
      <c r="TXE9" s="4"/>
      <c r="TXF9" s="4"/>
      <c r="TXG9" s="4"/>
      <c r="TXH9" s="4"/>
      <c r="TXI9" s="4"/>
      <c r="TXJ9" s="4"/>
      <c r="TXK9" s="4"/>
      <c r="TXL9" s="4"/>
      <c r="TXM9" s="4"/>
      <c r="TXN9" s="4"/>
      <c r="TXO9" s="4"/>
      <c r="TXP9" s="4"/>
      <c r="TXQ9" s="4"/>
      <c r="TXR9" s="4"/>
      <c r="TXS9" s="4"/>
      <c r="TXT9" s="4"/>
      <c r="TXU9" s="4"/>
      <c r="TXV9" s="4"/>
      <c r="TXW9" s="4"/>
      <c r="TXX9" s="4"/>
      <c r="TXY9" s="4"/>
      <c r="TXZ9" s="4"/>
      <c r="TYA9" s="4"/>
      <c r="TYB9" s="4"/>
      <c r="TYC9" s="4"/>
      <c r="TYD9" s="4"/>
      <c r="TYE9" s="4"/>
      <c r="TYF9" s="4"/>
      <c r="TYG9" s="4"/>
      <c r="TYH9" s="4"/>
      <c r="TYI9" s="4"/>
      <c r="TYJ9" s="4"/>
      <c r="TYK9" s="4"/>
      <c r="TYL9" s="4"/>
      <c r="TYM9" s="4"/>
      <c r="TYN9" s="4"/>
      <c r="TYO9" s="4"/>
      <c r="TYP9" s="4"/>
      <c r="TYQ9" s="4"/>
      <c r="TYR9" s="4"/>
      <c r="TYS9" s="4"/>
      <c r="TYT9" s="4"/>
      <c r="TYU9" s="4"/>
      <c r="TYV9" s="4"/>
      <c r="TYW9" s="4"/>
      <c r="TYX9" s="4"/>
      <c r="TYY9" s="4"/>
      <c r="TYZ9" s="4"/>
      <c r="TZA9" s="4"/>
      <c r="TZB9" s="4"/>
      <c r="TZC9" s="4"/>
      <c r="TZD9" s="4"/>
      <c r="TZE9" s="4"/>
      <c r="TZF9" s="4"/>
      <c r="TZG9" s="4"/>
      <c r="TZH9" s="4"/>
      <c r="TZI9" s="4"/>
      <c r="TZJ9" s="4"/>
      <c r="TZK9" s="4"/>
      <c r="TZL9" s="4"/>
      <c r="TZM9" s="4"/>
      <c r="TZN9" s="4"/>
      <c r="TZO9" s="4"/>
      <c r="TZP9" s="4"/>
      <c r="TZQ9" s="4"/>
      <c r="TZR9" s="4"/>
      <c r="TZS9" s="4"/>
      <c r="TZT9" s="4"/>
      <c r="TZU9" s="4"/>
      <c r="TZV9" s="4"/>
      <c r="TZW9" s="4"/>
      <c r="TZX9" s="4"/>
      <c r="TZY9" s="4"/>
      <c r="TZZ9" s="4"/>
      <c r="UAA9" s="4"/>
      <c r="UAB9" s="4"/>
      <c r="UAC9" s="4"/>
      <c r="UAD9" s="4"/>
      <c r="UAE9" s="4"/>
      <c r="UAF9" s="4"/>
      <c r="UAG9" s="4"/>
      <c r="UAH9" s="4"/>
      <c r="UAI9" s="4"/>
      <c r="UAJ9" s="4"/>
      <c r="UAK9" s="4"/>
      <c r="UAL9" s="4"/>
      <c r="UAM9" s="4"/>
      <c r="UAN9" s="4"/>
      <c r="UAO9" s="4"/>
      <c r="UAP9" s="4"/>
      <c r="UAQ9" s="4"/>
      <c r="UAR9" s="4"/>
      <c r="UAS9" s="4"/>
      <c r="UAT9" s="4"/>
      <c r="UAU9" s="4"/>
      <c r="UAV9" s="4"/>
      <c r="UAW9" s="4"/>
      <c r="UAX9" s="4"/>
      <c r="UAY9" s="4"/>
      <c r="UAZ9" s="4"/>
      <c r="UBA9" s="4"/>
      <c r="UBB9" s="4"/>
      <c r="UBC9" s="4"/>
      <c r="UBD9" s="4"/>
      <c r="UBE9" s="4"/>
      <c r="UBF9" s="4"/>
      <c r="UBG9" s="4"/>
      <c r="UBH9" s="4"/>
      <c r="UBI9" s="4"/>
      <c r="UBJ9" s="4"/>
      <c r="UBK9" s="4"/>
      <c r="UBL9" s="4"/>
      <c r="UBM9" s="4"/>
      <c r="UBN9" s="4"/>
      <c r="UBO9" s="4"/>
      <c r="UBP9" s="4"/>
      <c r="UBQ9" s="4"/>
      <c r="UBR9" s="4"/>
      <c r="UBS9" s="4"/>
      <c r="UBT9" s="4"/>
      <c r="UBU9" s="4"/>
      <c r="UBV9" s="4"/>
      <c r="UBW9" s="4"/>
      <c r="UBX9" s="4"/>
      <c r="UBY9" s="4"/>
      <c r="UBZ9" s="4"/>
      <c r="UCA9" s="4"/>
      <c r="UCB9" s="4"/>
      <c r="UCC9" s="4"/>
      <c r="UCD9" s="4"/>
      <c r="UCE9" s="4"/>
      <c r="UCF9" s="4"/>
      <c r="UCG9" s="4"/>
      <c r="UCH9" s="4"/>
      <c r="UCI9" s="4"/>
      <c r="UCJ9" s="4"/>
      <c r="UCK9" s="4"/>
      <c r="UCL9" s="4"/>
      <c r="UCM9" s="4"/>
      <c r="UCN9" s="4"/>
      <c r="UCO9" s="4"/>
      <c r="UCP9" s="4"/>
      <c r="UCQ9" s="4"/>
      <c r="UCR9" s="4"/>
      <c r="UCS9" s="4"/>
      <c r="UCT9" s="4"/>
      <c r="UCU9" s="4"/>
      <c r="UCV9" s="4"/>
      <c r="UCW9" s="4"/>
      <c r="UCX9" s="4"/>
      <c r="UCY9" s="4"/>
      <c r="UCZ9" s="4"/>
      <c r="UDA9" s="4"/>
      <c r="UDB9" s="4"/>
      <c r="UDC9" s="4"/>
      <c r="UDD9" s="4"/>
      <c r="UDE9" s="4"/>
      <c r="UDF9" s="4"/>
      <c r="UDG9" s="4"/>
      <c r="UDH9" s="4"/>
      <c r="UDI9" s="4"/>
      <c r="UDJ9" s="4"/>
      <c r="UDK9" s="4"/>
      <c r="UDL9" s="4"/>
      <c r="UDM9" s="4"/>
      <c r="UDN9" s="4"/>
      <c r="UDO9" s="4"/>
      <c r="UDP9" s="4"/>
      <c r="UDQ9" s="4"/>
      <c r="UDR9" s="4"/>
      <c r="UDS9" s="4"/>
      <c r="UDT9" s="4"/>
      <c r="UDU9" s="4"/>
      <c r="UDV9" s="4"/>
      <c r="UDW9" s="4"/>
      <c r="UDX9" s="4"/>
      <c r="UDY9" s="4"/>
      <c r="UDZ9" s="4"/>
      <c r="UEA9" s="4"/>
      <c r="UEB9" s="4"/>
      <c r="UEC9" s="4"/>
      <c r="UED9" s="4"/>
      <c r="UEE9" s="4"/>
      <c r="UEF9" s="4"/>
      <c r="UEG9" s="4"/>
      <c r="UEH9" s="4"/>
      <c r="UEI9" s="4"/>
      <c r="UEJ9" s="4"/>
      <c r="UEK9" s="4"/>
      <c r="UEL9" s="4"/>
      <c r="UEM9" s="4"/>
      <c r="UEN9" s="4"/>
      <c r="UEO9" s="4"/>
      <c r="UEP9" s="4"/>
      <c r="UEQ9" s="4"/>
      <c r="UER9" s="4"/>
      <c r="UES9" s="4"/>
      <c r="UET9" s="4"/>
      <c r="UEU9" s="4"/>
      <c r="UEV9" s="4"/>
      <c r="UEW9" s="4"/>
      <c r="UEX9" s="4"/>
      <c r="UEY9" s="4"/>
      <c r="UEZ9" s="4"/>
      <c r="UFA9" s="4"/>
      <c r="UFB9" s="4"/>
      <c r="UFC9" s="4"/>
      <c r="UFD9" s="4"/>
      <c r="UFE9" s="4"/>
      <c r="UFF9" s="4"/>
      <c r="UFG9" s="4"/>
      <c r="UFH9" s="4"/>
      <c r="UFI9" s="4"/>
      <c r="UFJ9" s="4"/>
      <c r="UFK9" s="4"/>
      <c r="UFL9" s="4"/>
      <c r="UFM9" s="4"/>
      <c r="UFN9" s="4"/>
      <c r="UFO9" s="4"/>
      <c r="UFP9" s="4"/>
      <c r="UFQ9" s="4"/>
      <c r="UFR9" s="4"/>
      <c r="UFS9" s="4"/>
      <c r="UFT9" s="4"/>
      <c r="UFU9" s="4"/>
      <c r="UFV9" s="4"/>
      <c r="UFW9" s="4"/>
      <c r="UFX9" s="4"/>
      <c r="UFY9" s="4"/>
      <c r="UFZ9" s="4"/>
      <c r="UGA9" s="4"/>
      <c r="UGB9" s="4"/>
      <c r="UGC9" s="4"/>
      <c r="UGD9" s="4"/>
      <c r="UGE9" s="4"/>
      <c r="UGF9" s="4"/>
      <c r="UGG9" s="4"/>
      <c r="UGH9" s="4"/>
      <c r="UGI9" s="4"/>
      <c r="UGJ9" s="4"/>
      <c r="UGK9" s="4"/>
      <c r="UGL9" s="4"/>
      <c r="UGM9" s="4"/>
      <c r="UGN9" s="4"/>
      <c r="UGO9" s="4"/>
      <c r="UGP9" s="4"/>
      <c r="UGQ9" s="4"/>
      <c r="UGR9" s="4"/>
      <c r="UGS9" s="4"/>
      <c r="UGT9" s="4"/>
      <c r="UGU9" s="4"/>
      <c r="UGV9" s="4"/>
      <c r="UGW9" s="4"/>
      <c r="UGX9" s="4"/>
      <c r="UGY9" s="4"/>
      <c r="UGZ9" s="4"/>
      <c r="UHA9" s="4"/>
      <c r="UHB9" s="4"/>
      <c r="UHC9" s="4"/>
      <c r="UHD9" s="4"/>
      <c r="UHE9" s="4"/>
      <c r="UHF9" s="4"/>
      <c r="UHG9" s="4"/>
      <c r="UHH9" s="4"/>
      <c r="UHI9" s="4"/>
      <c r="UHJ9" s="4"/>
      <c r="UHK9" s="4"/>
      <c r="UHL9" s="4"/>
      <c r="UHM9" s="4"/>
      <c r="UHN9" s="4"/>
      <c r="UHO9" s="4"/>
      <c r="UHP9" s="4"/>
      <c r="UHQ9" s="4"/>
      <c r="UHR9" s="4"/>
      <c r="UHS9" s="4"/>
      <c r="UHT9" s="4"/>
      <c r="UHU9" s="4"/>
      <c r="UHV9" s="4"/>
      <c r="UHW9" s="4"/>
      <c r="UHX9" s="4"/>
      <c r="UHY9" s="4"/>
      <c r="UHZ9" s="4"/>
      <c r="UIA9" s="4"/>
      <c r="UIB9" s="4"/>
      <c r="UIC9" s="4"/>
      <c r="UID9" s="4"/>
      <c r="UIE9" s="4"/>
      <c r="UIF9" s="4"/>
      <c r="UIG9" s="4"/>
      <c r="UIH9" s="4"/>
      <c r="UII9" s="4"/>
      <c r="UIJ9" s="4"/>
      <c r="UIK9" s="4"/>
      <c r="UIL9" s="4"/>
      <c r="UIM9" s="4"/>
      <c r="UIN9" s="4"/>
      <c r="UIO9" s="4"/>
      <c r="UIP9" s="4"/>
      <c r="UIQ9" s="4"/>
      <c r="UIR9" s="4"/>
      <c r="UIS9" s="4"/>
      <c r="UIT9" s="4"/>
      <c r="UIU9" s="4"/>
      <c r="UIV9" s="4"/>
      <c r="UIW9" s="4"/>
      <c r="UIX9" s="4"/>
      <c r="UIY9" s="4"/>
      <c r="UIZ9" s="4"/>
      <c r="UJA9" s="4"/>
      <c r="UJB9" s="4"/>
      <c r="UJC9" s="4"/>
      <c r="UJD9" s="4"/>
      <c r="UJE9" s="4"/>
      <c r="UJF9" s="4"/>
      <c r="UJG9" s="4"/>
      <c r="UJH9" s="4"/>
      <c r="UJI9" s="4"/>
      <c r="UJJ9" s="4"/>
      <c r="UJK9" s="4"/>
      <c r="UJL9" s="4"/>
      <c r="UJM9" s="4"/>
      <c r="UJN9" s="4"/>
      <c r="UJO9" s="4"/>
      <c r="UJP9" s="4"/>
      <c r="UJQ9" s="4"/>
      <c r="UJR9" s="4"/>
      <c r="UJS9" s="4"/>
      <c r="UJT9" s="4"/>
      <c r="UJU9" s="4"/>
      <c r="UJV9" s="4"/>
      <c r="UJW9" s="4"/>
      <c r="UJX9" s="4"/>
      <c r="UJY9" s="4"/>
      <c r="UJZ9" s="4"/>
      <c r="UKA9" s="4"/>
      <c r="UKB9" s="4"/>
      <c r="UKC9" s="4"/>
      <c r="UKD9" s="4"/>
      <c r="UKE9" s="4"/>
      <c r="UKF9" s="4"/>
      <c r="UKG9" s="4"/>
      <c r="UKH9" s="4"/>
      <c r="UKI9" s="4"/>
      <c r="UKJ9" s="4"/>
      <c r="UKK9" s="4"/>
      <c r="UKL9" s="4"/>
      <c r="UKM9" s="4"/>
      <c r="UKN9" s="4"/>
      <c r="UKO9" s="4"/>
      <c r="UKP9" s="4"/>
      <c r="UKQ9" s="4"/>
      <c r="UKR9" s="4"/>
      <c r="UKS9" s="4"/>
      <c r="UKT9" s="4"/>
      <c r="UKU9" s="4"/>
      <c r="UKV9" s="4"/>
      <c r="UKW9" s="4"/>
      <c r="UKX9" s="4"/>
      <c r="UKY9" s="4"/>
      <c r="UKZ9" s="4"/>
      <c r="ULA9" s="4"/>
      <c r="ULB9" s="4"/>
      <c r="ULC9" s="4"/>
      <c r="ULD9" s="4"/>
      <c r="ULE9" s="4"/>
      <c r="ULF9" s="4"/>
      <c r="ULG9" s="4"/>
      <c r="ULH9" s="4"/>
      <c r="ULI9" s="4"/>
      <c r="ULJ9" s="4"/>
      <c r="ULK9" s="4"/>
      <c r="ULL9" s="4"/>
      <c r="ULM9" s="4"/>
      <c r="ULN9" s="4"/>
      <c r="ULO9" s="4"/>
      <c r="ULP9" s="4"/>
      <c r="ULQ9" s="4"/>
      <c r="ULR9" s="4"/>
      <c r="ULS9" s="4"/>
      <c r="ULT9" s="4"/>
      <c r="ULU9" s="4"/>
      <c r="ULV9" s="4"/>
      <c r="ULW9" s="4"/>
      <c r="ULX9" s="4"/>
      <c r="ULY9" s="4"/>
      <c r="ULZ9" s="4"/>
      <c r="UMA9" s="4"/>
      <c r="UMB9" s="4"/>
      <c r="UMC9" s="4"/>
      <c r="UMD9" s="4"/>
      <c r="UME9" s="4"/>
      <c r="UMF9" s="4"/>
      <c r="UMG9" s="4"/>
      <c r="UMH9" s="4"/>
      <c r="UMI9" s="4"/>
      <c r="UMJ9" s="4"/>
      <c r="UMK9" s="4"/>
      <c r="UML9" s="4"/>
      <c r="UMM9" s="4"/>
      <c r="UMN9" s="4"/>
      <c r="UMO9" s="4"/>
      <c r="UMP9" s="4"/>
      <c r="UMQ9" s="4"/>
      <c r="UMR9" s="4"/>
      <c r="UMS9" s="4"/>
      <c r="UMT9" s="4"/>
      <c r="UMU9" s="4"/>
      <c r="UMV9" s="4"/>
      <c r="UMW9" s="4"/>
      <c r="UMX9" s="4"/>
      <c r="UMY9" s="4"/>
      <c r="UMZ9" s="4"/>
      <c r="UNA9" s="4"/>
      <c r="UNB9" s="4"/>
      <c r="UNC9" s="4"/>
      <c r="UND9" s="4"/>
      <c r="UNE9" s="4"/>
      <c r="UNF9" s="4"/>
      <c r="UNG9" s="4"/>
      <c r="UNH9" s="4"/>
      <c r="UNI9" s="4"/>
      <c r="UNJ9" s="4"/>
      <c r="UNK9" s="4"/>
      <c r="UNL9" s="4"/>
      <c r="UNM9" s="4"/>
      <c r="UNN9" s="4"/>
      <c r="UNO9" s="4"/>
      <c r="UNP9" s="4"/>
      <c r="UNQ9" s="4"/>
      <c r="UNR9" s="4"/>
      <c r="UNS9" s="4"/>
      <c r="UNT9" s="4"/>
      <c r="UNU9" s="4"/>
      <c r="UNV9" s="4"/>
      <c r="UNW9" s="4"/>
      <c r="UNX9" s="4"/>
      <c r="UNY9" s="4"/>
      <c r="UNZ9" s="4"/>
      <c r="UOA9" s="4"/>
      <c r="UOB9" s="4"/>
      <c r="UOC9" s="4"/>
      <c r="UOD9" s="4"/>
      <c r="UOE9" s="4"/>
      <c r="UOF9" s="4"/>
      <c r="UOG9" s="4"/>
      <c r="UOH9" s="4"/>
      <c r="UOI9" s="4"/>
      <c r="UOJ9" s="4"/>
      <c r="UOK9" s="4"/>
      <c r="UOL9" s="4"/>
      <c r="UOM9" s="4"/>
      <c r="UON9" s="4"/>
      <c r="UOO9" s="4"/>
      <c r="UOP9" s="4"/>
      <c r="UOQ9" s="4"/>
      <c r="UOR9" s="4"/>
      <c r="UOS9" s="4"/>
      <c r="UOT9" s="4"/>
      <c r="UOU9" s="4"/>
      <c r="UOV9" s="4"/>
      <c r="UOW9" s="4"/>
      <c r="UOX9" s="4"/>
      <c r="UOY9" s="4"/>
      <c r="UOZ9" s="4"/>
      <c r="UPA9" s="4"/>
      <c r="UPB9" s="4"/>
      <c r="UPC9" s="4"/>
      <c r="UPD9" s="4"/>
      <c r="UPE9" s="4"/>
      <c r="UPF9" s="4"/>
      <c r="UPG9" s="4"/>
      <c r="UPH9" s="4"/>
      <c r="UPI9" s="4"/>
      <c r="UPJ9" s="4"/>
      <c r="UPK9" s="4"/>
      <c r="UPL9" s="4"/>
      <c r="UPM9" s="4"/>
      <c r="UPN9" s="4"/>
      <c r="UPO9" s="4"/>
      <c r="UPP9" s="4"/>
      <c r="UPQ9" s="4"/>
      <c r="UPR9" s="4"/>
      <c r="UPS9" s="4"/>
      <c r="UPT9" s="4"/>
      <c r="UPU9" s="4"/>
      <c r="UPV9" s="4"/>
      <c r="UPW9" s="4"/>
      <c r="UPX9" s="4"/>
      <c r="UPY9" s="4"/>
      <c r="UPZ9" s="4"/>
      <c r="UQA9" s="4"/>
      <c r="UQB9" s="4"/>
      <c r="UQC9" s="4"/>
      <c r="UQD9" s="4"/>
      <c r="UQE9" s="4"/>
      <c r="UQF9" s="4"/>
      <c r="UQG9" s="4"/>
      <c r="UQH9" s="4"/>
      <c r="UQI9" s="4"/>
      <c r="UQJ9" s="4"/>
      <c r="UQK9" s="4"/>
      <c r="UQL9" s="4"/>
      <c r="UQM9" s="4"/>
      <c r="UQN9" s="4"/>
      <c r="UQO9" s="4"/>
      <c r="UQP9" s="4"/>
      <c r="UQQ9" s="4"/>
      <c r="UQR9" s="4"/>
      <c r="UQS9" s="4"/>
      <c r="UQT9" s="4"/>
      <c r="UQU9" s="4"/>
      <c r="UQV9" s="4"/>
      <c r="UQW9" s="4"/>
      <c r="UQX9" s="4"/>
      <c r="UQY9" s="4"/>
      <c r="UQZ9" s="4"/>
      <c r="URA9" s="4"/>
      <c r="URB9" s="4"/>
      <c r="URC9" s="4"/>
      <c r="URD9" s="4"/>
      <c r="URE9" s="4"/>
      <c r="URF9" s="4"/>
      <c r="URG9" s="4"/>
      <c r="URH9" s="4"/>
      <c r="URI9" s="4"/>
      <c r="URJ9" s="4"/>
      <c r="URK9" s="4"/>
      <c r="URL9" s="4"/>
      <c r="URM9" s="4"/>
      <c r="URN9" s="4"/>
      <c r="URO9" s="4"/>
      <c r="URP9" s="4"/>
      <c r="URQ9" s="4"/>
      <c r="URR9" s="4"/>
      <c r="URS9" s="4"/>
      <c r="URT9" s="4"/>
      <c r="URU9" s="4"/>
      <c r="URV9" s="4"/>
      <c r="URW9" s="4"/>
      <c r="URX9" s="4"/>
      <c r="URY9" s="4"/>
      <c r="URZ9" s="4"/>
      <c r="USA9" s="4"/>
      <c r="USB9" s="4"/>
      <c r="USC9" s="4"/>
      <c r="USD9" s="4"/>
      <c r="USE9" s="4"/>
      <c r="USF9" s="4"/>
      <c r="USG9" s="4"/>
      <c r="USH9" s="4"/>
      <c r="USI9" s="4"/>
      <c r="USJ9" s="4"/>
      <c r="USK9" s="4"/>
      <c r="USL9" s="4"/>
      <c r="USM9" s="4"/>
      <c r="USN9" s="4"/>
      <c r="USO9" s="4"/>
      <c r="USP9" s="4"/>
      <c r="USQ9" s="4"/>
      <c r="USR9" s="4"/>
      <c r="USS9" s="4"/>
      <c r="UST9" s="4"/>
      <c r="USU9" s="4"/>
      <c r="USV9" s="4"/>
      <c r="USW9" s="4"/>
      <c r="USX9" s="4"/>
      <c r="USY9" s="4"/>
      <c r="USZ9" s="4"/>
      <c r="UTA9" s="4"/>
      <c r="UTB9" s="4"/>
      <c r="UTC9" s="4"/>
      <c r="UTD9" s="4"/>
      <c r="UTE9" s="4"/>
      <c r="UTF9" s="4"/>
      <c r="UTG9" s="4"/>
      <c r="UTH9" s="4"/>
      <c r="UTI9" s="4"/>
      <c r="UTJ9" s="4"/>
      <c r="UTK9" s="4"/>
      <c r="UTL9" s="4"/>
      <c r="UTM9" s="4"/>
      <c r="UTN9" s="4"/>
      <c r="UTO9" s="4"/>
      <c r="UTP9" s="4"/>
      <c r="UTQ9" s="4"/>
      <c r="UTR9" s="4"/>
      <c r="UTS9" s="4"/>
      <c r="UTT9" s="4"/>
      <c r="UTU9" s="4"/>
      <c r="UTV9" s="4"/>
      <c r="UTW9" s="4"/>
      <c r="UTX9" s="4"/>
      <c r="UTY9" s="4"/>
      <c r="UTZ9" s="4"/>
      <c r="UUA9" s="4"/>
      <c r="UUB9" s="4"/>
      <c r="UUC9" s="4"/>
      <c r="UUD9" s="4"/>
      <c r="UUE9" s="4"/>
      <c r="UUF9" s="4"/>
      <c r="UUG9" s="4"/>
      <c r="UUH9" s="4"/>
      <c r="UUI9" s="4"/>
      <c r="UUJ9" s="4"/>
      <c r="UUK9" s="4"/>
      <c r="UUL9" s="4"/>
      <c r="UUM9" s="4"/>
      <c r="UUN9" s="4"/>
      <c r="UUO9" s="4"/>
      <c r="UUP9" s="4"/>
      <c r="UUQ9" s="4"/>
      <c r="UUR9" s="4"/>
      <c r="UUS9" s="4"/>
      <c r="UUT9" s="4"/>
      <c r="UUU9" s="4"/>
      <c r="UUV9" s="4"/>
      <c r="UUW9" s="4"/>
      <c r="UUX9" s="4"/>
      <c r="UUY9" s="4"/>
      <c r="UUZ9" s="4"/>
      <c r="UVA9" s="4"/>
      <c r="UVB9" s="4"/>
      <c r="UVC9" s="4"/>
      <c r="UVD9" s="4"/>
      <c r="UVE9" s="4"/>
      <c r="UVF9" s="4"/>
      <c r="UVG9" s="4"/>
      <c r="UVH9" s="4"/>
      <c r="UVI9" s="4"/>
      <c r="UVJ9" s="4"/>
      <c r="UVK9" s="4"/>
      <c r="UVL9" s="4"/>
      <c r="UVM9" s="4"/>
      <c r="UVN9" s="4"/>
      <c r="UVO9" s="4"/>
      <c r="UVP9" s="4"/>
      <c r="UVQ9" s="4"/>
      <c r="UVR9" s="4"/>
      <c r="UVS9" s="4"/>
      <c r="UVT9" s="4"/>
      <c r="UVU9" s="4"/>
      <c r="UVV9" s="4"/>
      <c r="UVW9" s="4"/>
      <c r="UVX9" s="4"/>
      <c r="UVY9" s="4"/>
      <c r="UVZ9" s="4"/>
      <c r="UWA9" s="4"/>
      <c r="UWB9" s="4"/>
      <c r="UWC9" s="4"/>
      <c r="UWD9" s="4"/>
      <c r="UWE9" s="4"/>
      <c r="UWF9" s="4"/>
      <c r="UWG9" s="4"/>
      <c r="UWH9" s="4"/>
      <c r="UWI9" s="4"/>
      <c r="UWJ9" s="4"/>
      <c r="UWK9" s="4"/>
      <c r="UWL9" s="4"/>
      <c r="UWM9" s="4"/>
      <c r="UWN9" s="4"/>
      <c r="UWO9" s="4"/>
      <c r="UWP9" s="4"/>
      <c r="UWQ9" s="4"/>
      <c r="UWR9" s="4"/>
      <c r="UWS9" s="4"/>
      <c r="UWT9" s="4"/>
      <c r="UWU9" s="4"/>
      <c r="UWV9" s="4"/>
      <c r="UWW9" s="4"/>
      <c r="UWX9" s="4"/>
      <c r="UWY9" s="4"/>
      <c r="UWZ9" s="4"/>
      <c r="UXA9" s="4"/>
      <c r="UXB9" s="4"/>
      <c r="UXC9" s="4"/>
      <c r="UXD9" s="4"/>
      <c r="UXE9" s="4"/>
      <c r="UXF9" s="4"/>
      <c r="UXG9" s="4"/>
      <c r="UXH9" s="4"/>
      <c r="UXI9" s="4"/>
      <c r="UXJ9" s="4"/>
      <c r="UXK9" s="4"/>
      <c r="UXL9" s="4"/>
      <c r="UXM9" s="4"/>
      <c r="UXN9" s="4"/>
      <c r="UXO9" s="4"/>
      <c r="UXP9" s="4"/>
      <c r="UXQ9" s="4"/>
      <c r="UXR9" s="4"/>
      <c r="UXS9" s="4"/>
      <c r="UXT9" s="4"/>
      <c r="UXU9" s="4"/>
      <c r="UXV9" s="4"/>
      <c r="UXW9" s="4"/>
      <c r="UXX9" s="4"/>
      <c r="UXY9" s="4"/>
      <c r="UXZ9" s="4"/>
      <c r="UYA9" s="4"/>
      <c r="UYB9" s="4"/>
      <c r="UYC9" s="4"/>
      <c r="UYD9" s="4"/>
      <c r="UYE9" s="4"/>
      <c r="UYF9" s="4"/>
      <c r="UYG9" s="4"/>
      <c r="UYH9" s="4"/>
      <c r="UYI9" s="4"/>
      <c r="UYJ9" s="4"/>
      <c r="UYK9" s="4"/>
      <c r="UYL9" s="4"/>
      <c r="UYM9" s="4"/>
      <c r="UYN9" s="4"/>
      <c r="UYO9" s="4"/>
      <c r="UYP9" s="4"/>
      <c r="UYQ9" s="4"/>
      <c r="UYR9" s="4"/>
      <c r="UYS9" s="4"/>
      <c r="UYT9" s="4"/>
      <c r="UYU9" s="4"/>
      <c r="UYV9" s="4"/>
      <c r="UYW9" s="4"/>
      <c r="UYX9" s="4"/>
      <c r="UYY9" s="4"/>
      <c r="UYZ9" s="4"/>
      <c r="UZA9" s="4"/>
      <c r="UZB9" s="4"/>
      <c r="UZC9" s="4"/>
      <c r="UZD9" s="4"/>
      <c r="UZE9" s="4"/>
      <c r="UZF9" s="4"/>
      <c r="UZG9" s="4"/>
      <c r="UZH9" s="4"/>
      <c r="UZI9" s="4"/>
      <c r="UZJ9" s="4"/>
      <c r="UZK9" s="4"/>
      <c r="UZL9" s="4"/>
      <c r="UZM9" s="4"/>
      <c r="UZN9" s="4"/>
      <c r="UZO9" s="4"/>
      <c r="UZP9" s="4"/>
      <c r="UZQ9" s="4"/>
      <c r="UZR9" s="4"/>
      <c r="UZS9" s="4"/>
      <c r="UZT9" s="4"/>
      <c r="UZU9" s="4"/>
      <c r="UZV9" s="4"/>
      <c r="UZW9" s="4"/>
      <c r="UZX9" s="4"/>
      <c r="UZY9" s="4"/>
      <c r="UZZ9" s="4"/>
      <c r="VAA9" s="4"/>
      <c r="VAB9" s="4"/>
      <c r="VAC9" s="4"/>
      <c r="VAD9" s="4"/>
      <c r="VAE9" s="4"/>
      <c r="VAF9" s="4"/>
      <c r="VAG9" s="4"/>
      <c r="VAH9" s="4"/>
      <c r="VAI9" s="4"/>
      <c r="VAJ9" s="4"/>
      <c r="VAK9" s="4"/>
      <c r="VAL9" s="4"/>
      <c r="VAM9" s="4"/>
      <c r="VAN9" s="4"/>
      <c r="VAO9" s="4"/>
      <c r="VAP9" s="4"/>
      <c r="VAQ9" s="4"/>
      <c r="VAR9" s="4"/>
      <c r="VAS9" s="4"/>
      <c r="VAT9" s="4"/>
      <c r="VAU9" s="4"/>
      <c r="VAV9" s="4"/>
      <c r="VAW9" s="4"/>
      <c r="VAX9" s="4"/>
      <c r="VAY9" s="4"/>
      <c r="VAZ9" s="4"/>
      <c r="VBA9" s="4"/>
      <c r="VBB9" s="4"/>
      <c r="VBC9" s="4"/>
      <c r="VBD9" s="4"/>
      <c r="VBE9" s="4"/>
      <c r="VBF9" s="4"/>
      <c r="VBG9" s="4"/>
      <c r="VBH9" s="4"/>
      <c r="VBI9" s="4"/>
      <c r="VBJ9" s="4"/>
      <c r="VBK9" s="4"/>
      <c r="VBL9" s="4"/>
      <c r="VBM9" s="4"/>
      <c r="VBN9" s="4"/>
      <c r="VBO9" s="4"/>
      <c r="VBP9" s="4"/>
      <c r="VBQ9" s="4"/>
      <c r="VBR9" s="4"/>
      <c r="VBS9" s="4"/>
      <c r="VBT9" s="4"/>
      <c r="VBU9" s="4"/>
      <c r="VBV9" s="4"/>
      <c r="VBW9" s="4"/>
      <c r="VBX9" s="4"/>
      <c r="VBY9" s="4"/>
      <c r="VBZ9" s="4"/>
      <c r="VCA9" s="4"/>
      <c r="VCB9" s="4"/>
      <c r="VCC9" s="4"/>
      <c r="VCD9" s="4"/>
      <c r="VCE9" s="4"/>
      <c r="VCF9" s="4"/>
      <c r="VCG9" s="4"/>
      <c r="VCH9" s="4"/>
      <c r="VCI9" s="4"/>
      <c r="VCJ9" s="4"/>
      <c r="VCK9" s="4"/>
      <c r="VCL9" s="4"/>
      <c r="VCM9" s="4"/>
      <c r="VCN9" s="4"/>
      <c r="VCO9" s="4"/>
      <c r="VCP9" s="4"/>
      <c r="VCQ9" s="4"/>
      <c r="VCR9" s="4"/>
      <c r="VCS9" s="4"/>
      <c r="VCT9" s="4"/>
      <c r="VCU9" s="4"/>
      <c r="VCV9" s="4"/>
      <c r="VCW9" s="4"/>
      <c r="VCX9" s="4"/>
      <c r="VCY9" s="4"/>
      <c r="VCZ9" s="4"/>
      <c r="VDA9" s="4"/>
      <c r="VDB9" s="4"/>
      <c r="VDC9" s="4"/>
      <c r="VDD9" s="4"/>
      <c r="VDE9" s="4"/>
      <c r="VDF9" s="4"/>
      <c r="VDG9" s="4"/>
      <c r="VDH9" s="4"/>
      <c r="VDI9" s="4"/>
      <c r="VDJ9" s="4"/>
      <c r="VDK9" s="4"/>
      <c r="VDL9" s="4"/>
      <c r="VDM9" s="4"/>
      <c r="VDN9" s="4"/>
      <c r="VDO9" s="4"/>
      <c r="VDP9" s="4"/>
      <c r="VDQ9" s="4"/>
      <c r="VDR9" s="4"/>
      <c r="VDS9" s="4"/>
      <c r="VDT9" s="4"/>
      <c r="VDU9" s="4"/>
      <c r="VDV9" s="4"/>
      <c r="VDW9" s="4"/>
      <c r="VDX9" s="4"/>
      <c r="VDY9" s="4"/>
      <c r="VDZ9" s="4"/>
      <c r="VEA9" s="4"/>
      <c r="VEB9" s="4"/>
      <c r="VEC9" s="4"/>
      <c r="VED9" s="4"/>
      <c r="VEE9" s="4"/>
      <c r="VEF9" s="4"/>
      <c r="VEG9" s="4"/>
      <c r="VEH9" s="4"/>
      <c r="VEI9" s="4"/>
      <c r="VEJ9" s="4"/>
      <c r="VEK9" s="4"/>
      <c r="VEL9" s="4"/>
      <c r="VEM9" s="4"/>
      <c r="VEN9" s="4"/>
      <c r="VEO9" s="4"/>
      <c r="VEP9" s="4"/>
      <c r="VEQ9" s="4"/>
      <c r="VER9" s="4"/>
      <c r="VES9" s="4"/>
      <c r="VET9" s="4"/>
      <c r="VEU9" s="4"/>
      <c r="VEV9" s="4"/>
      <c r="VEW9" s="4"/>
      <c r="VEX9" s="4"/>
      <c r="VEY9" s="4"/>
      <c r="VEZ9" s="4"/>
      <c r="VFA9" s="4"/>
      <c r="VFB9" s="4"/>
      <c r="VFC9" s="4"/>
      <c r="VFD9" s="4"/>
      <c r="VFE9" s="4"/>
      <c r="VFF9" s="4"/>
      <c r="VFG9" s="4"/>
      <c r="VFH9" s="4"/>
      <c r="VFI9" s="4"/>
      <c r="VFJ9" s="4"/>
      <c r="VFK9" s="4"/>
      <c r="VFL9" s="4"/>
      <c r="VFM9" s="4"/>
      <c r="VFN9" s="4"/>
      <c r="VFO9" s="4"/>
      <c r="VFP9" s="4"/>
      <c r="VFQ9" s="4"/>
      <c r="VFR9" s="4"/>
      <c r="VFS9" s="4"/>
      <c r="VFT9" s="4"/>
      <c r="VFU9" s="4"/>
      <c r="VFV9" s="4"/>
      <c r="VFW9" s="4"/>
      <c r="VFX9" s="4"/>
      <c r="VFY9" s="4"/>
      <c r="VFZ9" s="4"/>
      <c r="VGA9" s="4"/>
      <c r="VGB9" s="4"/>
      <c r="VGC9" s="4"/>
      <c r="VGD9" s="4"/>
      <c r="VGE9" s="4"/>
      <c r="VGF9" s="4"/>
      <c r="VGG9" s="4"/>
      <c r="VGH9" s="4"/>
      <c r="VGI9" s="4"/>
      <c r="VGJ9" s="4"/>
      <c r="VGK9" s="4"/>
      <c r="VGL9" s="4"/>
      <c r="VGM9" s="4"/>
      <c r="VGN9" s="4"/>
      <c r="VGO9" s="4"/>
      <c r="VGP9" s="4"/>
      <c r="VGQ9" s="4"/>
      <c r="VGR9" s="4"/>
      <c r="VGS9" s="4"/>
      <c r="VGT9" s="4"/>
      <c r="VGU9" s="4"/>
      <c r="VGV9" s="4"/>
      <c r="VGW9" s="4"/>
      <c r="VGX9" s="4"/>
      <c r="VGY9" s="4"/>
      <c r="VGZ9" s="4"/>
      <c r="VHA9" s="4"/>
      <c r="VHB9" s="4"/>
      <c r="VHC9" s="4"/>
      <c r="VHD9" s="4"/>
      <c r="VHE9" s="4"/>
      <c r="VHF9" s="4"/>
      <c r="VHG9" s="4"/>
      <c r="VHH9" s="4"/>
      <c r="VHI9" s="4"/>
      <c r="VHJ9" s="4"/>
      <c r="VHK9" s="4"/>
      <c r="VHL9" s="4"/>
      <c r="VHM9" s="4"/>
      <c r="VHN9" s="4"/>
      <c r="VHO9" s="4"/>
      <c r="VHP9" s="4"/>
      <c r="VHQ9" s="4"/>
      <c r="VHR9" s="4"/>
      <c r="VHS9" s="4"/>
      <c r="VHT9" s="4"/>
      <c r="VHU9" s="4"/>
      <c r="VHV9" s="4"/>
      <c r="VHW9" s="4"/>
      <c r="VHX9" s="4"/>
      <c r="VHY9" s="4"/>
      <c r="VHZ9" s="4"/>
      <c r="VIA9" s="4"/>
      <c r="VIB9" s="4"/>
      <c r="VIC9" s="4"/>
      <c r="VID9" s="4"/>
      <c r="VIE9" s="4"/>
      <c r="VIF9" s="4"/>
      <c r="VIG9" s="4"/>
      <c r="VIH9" s="4"/>
      <c r="VII9" s="4"/>
      <c r="VIJ9" s="4"/>
      <c r="VIK9" s="4"/>
      <c r="VIL9" s="4"/>
      <c r="VIM9" s="4"/>
      <c r="VIN9" s="4"/>
      <c r="VIO9" s="4"/>
      <c r="VIP9" s="4"/>
      <c r="VIQ9" s="4"/>
      <c r="VIR9" s="4"/>
      <c r="VIS9" s="4"/>
      <c r="VIT9" s="4"/>
      <c r="VIU9" s="4"/>
      <c r="VIV9" s="4"/>
      <c r="VIW9" s="4"/>
      <c r="VIX9" s="4"/>
      <c r="VIY9" s="4"/>
      <c r="VIZ9" s="4"/>
      <c r="VJA9" s="4"/>
      <c r="VJB9" s="4"/>
      <c r="VJC9" s="4"/>
      <c r="VJD9" s="4"/>
      <c r="VJE9" s="4"/>
      <c r="VJF9" s="4"/>
      <c r="VJG9" s="4"/>
      <c r="VJH9" s="4"/>
      <c r="VJI9" s="4"/>
      <c r="VJJ9" s="4"/>
      <c r="VJK9" s="4"/>
      <c r="VJL9" s="4"/>
      <c r="VJM9" s="4"/>
      <c r="VJN9" s="4"/>
      <c r="VJO9" s="4"/>
      <c r="VJP9" s="4"/>
      <c r="VJQ9" s="4"/>
      <c r="VJR9" s="4"/>
      <c r="VJS9" s="4"/>
      <c r="VJT9" s="4"/>
      <c r="VJU9" s="4"/>
      <c r="VJV9" s="4"/>
      <c r="VJW9" s="4"/>
      <c r="VJX9" s="4"/>
      <c r="VJY9" s="4"/>
      <c r="VJZ9" s="4"/>
      <c r="VKA9" s="4"/>
      <c r="VKB9" s="4"/>
      <c r="VKC9" s="4"/>
      <c r="VKD9" s="4"/>
      <c r="VKE9" s="4"/>
      <c r="VKF9" s="4"/>
      <c r="VKG9" s="4"/>
      <c r="VKH9" s="4"/>
      <c r="VKI9" s="4"/>
      <c r="VKJ9" s="4"/>
      <c r="VKK9" s="4"/>
      <c r="VKL9" s="4"/>
      <c r="VKM9" s="4"/>
      <c r="VKN9" s="4"/>
      <c r="VKO9" s="4"/>
      <c r="VKP9" s="4"/>
      <c r="VKQ9" s="4"/>
      <c r="VKR9" s="4"/>
      <c r="VKS9" s="4"/>
      <c r="VKT9" s="4"/>
      <c r="VKU9" s="4"/>
      <c r="VKV9" s="4"/>
      <c r="VKW9" s="4"/>
      <c r="VKX9" s="4"/>
      <c r="VKY9" s="4"/>
      <c r="VKZ9" s="4"/>
      <c r="VLA9" s="4"/>
      <c r="VLB9" s="4"/>
      <c r="VLC9" s="4"/>
      <c r="VLD9" s="4"/>
      <c r="VLE9" s="4"/>
      <c r="VLF9" s="4"/>
      <c r="VLG9" s="4"/>
      <c r="VLH9" s="4"/>
      <c r="VLI9" s="4"/>
      <c r="VLJ9" s="4"/>
      <c r="VLK9" s="4"/>
      <c r="VLL9" s="4"/>
      <c r="VLM9" s="4"/>
      <c r="VLN9" s="4"/>
      <c r="VLO9" s="4"/>
      <c r="VLP9" s="4"/>
      <c r="VLQ9" s="4"/>
      <c r="VLR9" s="4"/>
      <c r="VLS9" s="4"/>
      <c r="VLT9" s="4"/>
      <c r="VLU9" s="4"/>
      <c r="VLV9" s="4"/>
      <c r="VLW9" s="4"/>
      <c r="VLX9" s="4"/>
      <c r="VLY9" s="4"/>
      <c r="VLZ9" s="4"/>
      <c r="VMA9" s="4"/>
      <c r="VMB9" s="4"/>
      <c r="VMC9" s="4"/>
      <c r="VMD9" s="4"/>
      <c r="VME9" s="4"/>
      <c r="VMF9" s="4"/>
      <c r="VMG9" s="4"/>
      <c r="VMH9" s="4"/>
      <c r="VMI9" s="4"/>
      <c r="VMJ9" s="4"/>
      <c r="VMK9" s="4"/>
      <c r="VML9" s="4"/>
      <c r="VMM9" s="4"/>
      <c r="VMN9" s="4"/>
      <c r="VMO9" s="4"/>
      <c r="VMP9" s="4"/>
      <c r="VMQ9" s="4"/>
      <c r="VMR9" s="4"/>
      <c r="VMS9" s="4"/>
      <c r="VMT9" s="4"/>
      <c r="VMU9" s="4"/>
      <c r="VMV9" s="4"/>
      <c r="VMW9" s="4"/>
      <c r="VMX9" s="4"/>
      <c r="VMY9" s="4"/>
      <c r="VMZ9" s="4"/>
      <c r="VNA9" s="4"/>
      <c r="VNB9" s="4"/>
      <c r="VNC9" s="4"/>
      <c r="VND9" s="4"/>
      <c r="VNE9" s="4"/>
      <c r="VNF9" s="4"/>
      <c r="VNG9" s="4"/>
      <c r="VNH9" s="4"/>
      <c r="VNI9" s="4"/>
      <c r="VNJ9" s="4"/>
      <c r="VNK9" s="4"/>
      <c r="VNL9" s="4"/>
      <c r="VNM9" s="4"/>
      <c r="VNN9" s="4"/>
      <c r="VNO9" s="4"/>
      <c r="VNP9" s="4"/>
      <c r="VNQ9" s="4"/>
      <c r="VNR9" s="4"/>
      <c r="VNS9" s="4"/>
      <c r="VNT9" s="4"/>
      <c r="VNU9" s="4"/>
      <c r="VNV9" s="4"/>
      <c r="VNW9" s="4"/>
      <c r="VNX9" s="4"/>
      <c r="VNY9" s="4"/>
      <c r="VNZ9" s="4"/>
      <c r="VOA9" s="4"/>
      <c r="VOB9" s="4"/>
      <c r="VOC9" s="4"/>
      <c r="VOD9" s="4"/>
      <c r="VOE9" s="4"/>
      <c r="VOF9" s="4"/>
      <c r="VOG9" s="4"/>
      <c r="VOH9" s="4"/>
      <c r="VOI9" s="4"/>
      <c r="VOJ9" s="4"/>
      <c r="VOK9" s="4"/>
      <c r="VOL9" s="4"/>
      <c r="VOM9" s="4"/>
      <c r="VON9" s="4"/>
      <c r="VOO9" s="4"/>
      <c r="VOP9" s="4"/>
      <c r="VOQ9" s="4"/>
      <c r="VOR9" s="4"/>
      <c r="VOS9" s="4"/>
      <c r="VOT9" s="4"/>
      <c r="VOU9" s="4"/>
      <c r="VOV9" s="4"/>
      <c r="VOW9" s="4"/>
      <c r="VOX9" s="4"/>
      <c r="VOY9" s="4"/>
      <c r="VOZ9" s="4"/>
      <c r="VPA9" s="4"/>
      <c r="VPB9" s="4"/>
      <c r="VPC9" s="4"/>
      <c r="VPD9" s="4"/>
      <c r="VPE9" s="4"/>
      <c r="VPF9" s="4"/>
      <c r="VPG9" s="4"/>
      <c r="VPH9" s="4"/>
      <c r="VPI9" s="4"/>
      <c r="VPJ9" s="4"/>
      <c r="VPK9" s="4"/>
      <c r="VPL9" s="4"/>
      <c r="VPM9" s="4"/>
      <c r="VPN9" s="4"/>
      <c r="VPO9" s="4"/>
      <c r="VPP9" s="4"/>
      <c r="VPQ9" s="4"/>
      <c r="VPR9" s="4"/>
      <c r="VPS9" s="4"/>
      <c r="VPT9" s="4"/>
      <c r="VPU9" s="4"/>
      <c r="VPV9" s="4"/>
      <c r="VPW9" s="4"/>
      <c r="VPX9" s="4"/>
      <c r="VPY9" s="4"/>
      <c r="VPZ9" s="4"/>
      <c r="VQA9" s="4"/>
      <c r="VQB9" s="4"/>
      <c r="VQC9" s="4"/>
      <c r="VQD9" s="4"/>
      <c r="VQE9" s="4"/>
      <c r="VQF9" s="4"/>
      <c r="VQG9" s="4"/>
      <c r="VQH9" s="4"/>
      <c r="VQI9" s="4"/>
      <c r="VQJ9" s="4"/>
      <c r="VQK9" s="4"/>
      <c r="VQL9" s="4"/>
      <c r="VQM9" s="4"/>
      <c r="VQN9" s="4"/>
      <c r="VQO9" s="4"/>
      <c r="VQP9" s="4"/>
      <c r="VQQ9" s="4"/>
      <c r="VQR9" s="4"/>
      <c r="VQS9" s="4"/>
      <c r="VQT9" s="4"/>
      <c r="VQU9" s="4"/>
      <c r="VQV9" s="4"/>
      <c r="VQW9" s="4"/>
      <c r="VQX9" s="4"/>
      <c r="VQY9" s="4"/>
      <c r="VQZ9" s="4"/>
      <c r="VRA9" s="4"/>
      <c r="VRB9" s="4"/>
      <c r="VRC9" s="4"/>
      <c r="VRD9" s="4"/>
      <c r="VRE9" s="4"/>
      <c r="VRF9" s="4"/>
      <c r="VRG9" s="4"/>
      <c r="VRH9" s="4"/>
      <c r="VRI9" s="4"/>
      <c r="VRJ9" s="4"/>
      <c r="VRK9" s="4"/>
      <c r="VRL9" s="4"/>
      <c r="VRM9" s="4"/>
      <c r="VRN9" s="4"/>
      <c r="VRO9" s="4"/>
      <c r="VRP9" s="4"/>
      <c r="VRQ9" s="4"/>
      <c r="VRR9" s="4"/>
      <c r="VRS9" s="4"/>
      <c r="VRT9" s="4"/>
      <c r="VRU9" s="4"/>
      <c r="VRV9" s="4"/>
      <c r="VRW9" s="4"/>
      <c r="VRX9" s="4"/>
      <c r="VRY9" s="4"/>
      <c r="VRZ9" s="4"/>
      <c r="VSA9" s="4"/>
      <c r="VSB9" s="4"/>
      <c r="VSC9" s="4"/>
      <c r="VSD9" s="4"/>
      <c r="VSE9" s="4"/>
      <c r="VSF9" s="4"/>
      <c r="VSG9" s="4"/>
      <c r="VSH9" s="4"/>
      <c r="VSI9" s="4"/>
      <c r="VSJ9" s="4"/>
      <c r="VSK9" s="4"/>
      <c r="VSL9" s="4"/>
      <c r="VSM9" s="4"/>
      <c r="VSN9" s="4"/>
      <c r="VSO9" s="4"/>
      <c r="VSP9" s="4"/>
      <c r="VSQ9" s="4"/>
      <c r="VSR9" s="4"/>
      <c r="VSS9" s="4"/>
      <c r="VST9" s="4"/>
      <c r="VSU9" s="4"/>
      <c r="VSV9" s="4"/>
      <c r="VSW9" s="4"/>
      <c r="VSX9" s="4"/>
      <c r="VSY9" s="4"/>
      <c r="VSZ9" s="4"/>
      <c r="VTA9" s="4"/>
      <c r="VTB9" s="4"/>
      <c r="VTC9" s="4"/>
      <c r="VTD9" s="4"/>
      <c r="VTE9" s="4"/>
      <c r="VTF9" s="4"/>
      <c r="VTG9" s="4"/>
      <c r="VTH9" s="4"/>
      <c r="VTI9" s="4"/>
      <c r="VTJ9" s="4"/>
      <c r="VTK9" s="4"/>
      <c r="VTL9" s="4"/>
      <c r="VTM9" s="4"/>
      <c r="VTN9" s="4"/>
      <c r="VTO9" s="4"/>
      <c r="VTP9" s="4"/>
      <c r="VTQ9" s="4"/>
      <c r="VTR9" s="4"/>
      <c r="VTS9" s="4"/>
      <c r="VTT9" s="4"/>
      <c r="VTU9" s="4"/>
      <c r="VTV9" s="4"/>
      <c r="VTW9" s="4"/>
      <c r="VTX9" s="4"/>
      <c r="VTY9" s="4"/>
      <c r="VTZ9" s="4"/>
      <c r="VUA9" s="4"/>
      <c r="VUB9" s="4"/>
      <c r="VUC9" s="4"/>
      <c r="VUD9" s="4"/>
      <c r="VUE9" s="4"/>
      <c r="VUF9" s="4"/>
      <c r="VUG9" s="4"/>
      <c r="VUH9" s="4"/>
      <c r="VUI9" s="4"/>
      <c r="VUJ9" s="4"/>
      <c r="VUK9" s="4"/>
      <c r="VUL9" s="4"/>
      <c r="VUM9" s="4"/>
      <c r="VUN9" s="4"/>
      <c r="VUO9" s="4"/>
      <c r="VUP9" s="4"/>
      <c r="VUQ9" s="4"/>
      <c r="VUR9" s="4"/>
      <c r="VUS9" s="4"/>
      <c r="VUT9" s="4"/>
      <c r="VUU9" s="4"/>
      <c r="VUV9" s="4"/>
      <c r="VUW9" s="4"/>
      <c r="VUX9" s="4"/>
      <c r="VUY9" s="4"/>
      <c r="VUZ9" s="4"/>
      <c r="VVA9" s="4"/>
      <c r="VVB9" s="4"/>
      <c r="VVC9" s="4"/>
      <c r="VVD9" s="4"/>
      <c r="VVE9" s="4"/>
      <c r="VVF9" s="4"/>
      <c r="VVG9" s="4"/>
      <c r="VVH9" s="4"/>
      <c r="VVI9" s="4"/>
      <c r="VVJ9" s="4"/>
      <c r="VVK9" s="4"/>
      <c r="VVL9" s="4"/>
      <c r="VVM9" s="4"/>
      <c r="VVN9" s="4"/>
      <c r="VVO9" s="4"/>
      <c r="VVP9" s="4"/>
      <c r="VVQ9" s="4"/>
      <c r="VVR9" s="4"/>
      <c r="VVS9" s="4"/>
      <c r="VVT9" s="4"/>
      <c r="VVU9" s="4"/>
      <c r="VVV9" s="4"/>
      <c r="VVW9" s="4"/>
      <c r="VVX9" s="4"/>
      <c r="VVY9" s="4"/>
      <c r="VVZ9" s="4"/>
      <c r="VWA9" s="4"/>
      <c r="VWB9" s="4"/>
      <c r="VWC9" s="4"/>
      <c r="VWD9" s="4"/>
      <c r="VWE9" s="4"/>
      <c r="VWF9" s="4"/>
      <c r="VWG9" s="4"/>
      <c r="VWH9" s="4"/>
      <c r="VWI9" s="4"/>
      <c r="VWJ9" s="4"/>
      <c r="VWK9" s="4"/>
      <c r="VWL9" s="4"/>
      <c r="VWM9" s="4"/>
      <c r="VWN9" s="4"/>
      <c r="VWO9" s="4"/>
      <c r="VWP9" s="4"/>
      <c r="VWQ9" s="4"/>
      <c r="VWR9" s="4"/>
      <c r="VWS9" s="4"/>
      <c r="VWT9" s="4"/>
      <c r="VWU9" s="4"/>
      <c r="VWV9" s="4"/>
      <c r="VWW9" s="4"/>
      <c r="VWX9" s="4"/>
      <c r="VWY9" s="4"/>
      <c r="VWZ9" s="4"/>
      <c r="VXA9" s="4"/>
      <c r="VXB9" s="4"/>
      <c r="VXC9" s="4"/>
      <c r="VXD9" s="4"/>
      <c r="VXE9" s="4"/>
      <c r="VXF9" s="4"/>
      <c r="VXG9" s="4"/>
      <c r="VXH9" s="4"/>
      <c r="VXI9" s="4"/>
      <c r="VXJ9" s="4"/>
      <c r="VXK9" s="4"/>
      <c r="VXL9" s="4"/>
      <c r="VXM9" s="4"/>
      <c r="VXN9" s="4"/>
      <c r="VXO9" s="4"/>
      <c r="VXP9" s="4"/>
      <c r="VXQ9" s="4"/>
      <c r="VXR9" s="4"/>
      <c r="VXS9" s="4"/>
      <c r="VXT9" s="4"/>
      <c r="VXU9" s="4"/>
      <c r="VXV9" s="4"/>
      <c r="VXW9" s="4"/>
      <c r="VXX9" s="4"/>
      <c r="VXY9" s="4"/>
      <c r="VXZ9" s="4"/>
      <c r="VYA9" s="4"/>
      <c r="VYB9" s="4"/>
      <c r="VYC9" s="4"/>
      <c r="VYD9" s="4"/>
      <c r="VYE9" s="4"/>
      <c r="VYF9" s="4"/>
      <c r="VYG9" s="4"/>
      <c r="VYH9" s="4"/>
      <c r="VYI9" s="4"/>
      <c r="VYJ9" s="4"/>
      <c r="VYK9" s="4"/>
      <c r="VYL9" s="4"/>
      <c r="VYM9" s="4"/>
      <c r="VYN9" s="4"/>
      <c r="VYO9" s="4"/>
      <c r="VYP9" s="4"/>
      <c r="VYQ9" s="4"/>
      <c r="VYR9" s="4"/>
      <c r="VYS9" s="4"/>
      <c r="VYT9" s="4"/>
      <c r="VYU9" s="4"/>
      <c r="VYV9" s="4"/>
      <c r="VYW9" s="4"/>
      <c r="VYX9" s="4"/>
      <c r="VYY9" s="4"/>
      <c r="VYZ9" s="4"/>
      <c r="VZA9" s="4"/>
      <c r="VZB9" s="4"/>
      <c r="VZC9" s="4"/>
      <c r="VZD9" s="4"/>
      <c r="VZE9" s="4"/>
      <c r="VZF9" s="4"/>
      <c r="VZG9" s="4"/>
      <c r="VZH9" s="4"/>
      <c r="VZI9" s="4"/>
      <c r="VZJ9" s="4"/>
      <c r="VZK9" s="4"/>
      <c r="VZL9" s="4"/>
      <c r="VZM9" s="4"/>
      <c r="VZN9" s="4"/>
      <c r="VZO9" s="4"/>
      <c r="VZP9" s="4"/>
      <c r="VZQ9" s="4"/>
      <c r="VZR9" s="4"/>
      <c r="VZS9" s="4"/>
      <c r="VZT9" s="4"/>
      <c r="VZU9" s="4"/>
      <c r="VZV9" s="4"/>
      <c r="VZW9" s="4"/>
      <c r="VZX9" s="4"/>
      <c r="VZY9" s="4"/>
      <c r="VZZ9" s="4"/>
      <c r="WAA9" s="4"/>
      <c r="WAB9" s="4"/>
      <c r="WAC9" s="4"/>
      <c r="WAD9" s="4"/>
      <c r="WAE9" s="4"/>
      <c r="WAF9" s="4"/>
      <c r="WAG9" s="4"/>
      <c r="WAH9" s="4"/>
      <c r="WAI9" s="4"/>
      <c r="WAJ9" s="4"/>
      <c r="WAK9" s="4"/>
      <c r="WAL9" s="4"/>
      <c r="WAM9" s="4"/>
      <c r="WAN9" s="4"/>
      <c r="WAO9" s="4"/>
      <c r="WAP9" s="4"/>
      <c r="WAQ9" s="4"/>
      <c r="WAR9" s="4"/>
      <c r="WAS9" s="4"/>
      <c r="WAT9" s="4"/>
      <c r="WAU9" s="4"/>
      <c r="WAV9" s="4"/>
      <c r="WAW9" s="4"/>
      <c r="WAX9" s="4"/>
      <c r="WAY9" s="4"/>
      <c r="WAZ9" s="4"/>
      <c r="WBA9" s="4"/>
      <c r="WBB9" s="4"/>
      <c r="WBC9" s="4"/>
      <c r="WBD9" s="4"/>
      <c r="WBE9" s="4"/>
      <c r="WBF9" s="4"/>
      <c r="WBG9" s="4"/>
      <c r="WBH9" s="4"/>
      <c r="WBI9" s="4"/>
      <c r="WBJ9" s="4"/>
      <c r="WBK9" s="4"/>
      <c r="WBL9" s="4"/>
      <c r="WBM9" s="4"/>
      <c r="WBN9" s="4"/>
      <c r="WBO9" s="4"/>
      <c r="WBP9" s="4"/>
      <c r="WBQ9" s="4"/>
      <c r="WBR9" s="4"/>
      <c r="WBS9" s="4"/>
      <c r="WBT9" s="4"/>
      <c r="WBU9" s="4"/>
      <c r="WBV9" s="4"/>
      <c r="WBW9" s="4"/>
      <c r="WBX9" s="4"/>
      <c r="WBY9" s="4"/>
      <c r="WBZ9" s="4"/>
      <c r="WCA9" s="4"/>
      <c r="WCB9" s="4"/>
      <c r="WCC9" s="4"/>
      <c r="WCD9" s="4"/>
      <c r="WCE9" s="4"/>
      <c r="WCF9" s="4"/>
      <c r="WCG9" s="4"/>
      <c r="WCH9" s="4"/>
      <c r="WCI9" s="4"/>
      <c r="WCJ9" s="4"/>
      <c r="WCK9" s="4"/>
      <c r="WCL9" s="4"/>
      <c r="WCM9" s="4"/>
      <c r="WCN9" s="4"/>
      <c r="WCO9" s="4"/>
      <c r="WCP9" s="4"/>
      <c r="WCQ9" s="4"/>
      <c r="WCR9" s="4"/>
      <c r="WCS9" s="4"/>
      <c r="WCT9" s="4"/>
      <c r="WCU9" s="4"/>
      <c r="WCV9" s="4"/>
      <c r="WCW9" s="4"/>
      <c r="WCX9" s="4"/>
      <c r="WCY9" s="4"/>
      <c r="WCZ9" s="4"/>
      <c r="WDA9" s="4"/>
      <c r="WDB9" s="4"/>
      <c r="WDC9" s="4"/>
      <c r="WDD9" s="4"/>
      <c r="WDE9" s="4"/>
      <c r="WDF9" s="4"/>
      <c r="WDG9" s="4"/>
      <c r="WDH9" s="4"/>
      <c r="WDI9" s="4"/>
      <c r="WDJ9" s="4"/>
      <c r="WDK9" s="4"/>
      <c r="WDL9" s="4"/>
      <c r="WDM9" s="4"/>
      <c r="WDN9" s="4"/>
      <c r="WDO9" s="4"/>
      <c r="WDP9" s="4"/>
      <c r="WDQ9" s="4"/>
      <c r="WDR9" s="4"/>
      <c r="WDS9" s="4"/>
      <c r="WDT9" s="4"/>
      <c r="WDU9" s="4"/>
      <c r="WDV9" s="4"/>
      <c r="WDW9" s="4"/>
      <c r="WDX9" s="4"/>
      <c r="WDY9" s="4"/>
      <c r="WDZ9" s="4"/>
      <c r="WEA9" s="4"/>
      <c r="WEB9" s="4"/>
      <c r="WEC9" s="4"/>
      <c r="WED9" s="4"/>
      <c r="WEE9" s="4"/>
      <c r="WEF9" s="4"/>
      <c r="WEG9" s="4"/>
      <c r="WEH9" s="4"/>
      <c r="WEI9" s="4"/>
      <c r="WEJ9" s="4"/>
      <c r="WEK9" s="4"/>
      <c r="WEL9" s="4"/>
      <c r="WEM9" s="4"/>
      <c r="WEN9" s="4"/>
      <c r="WEO9" s="4"/>
      <c r="WEP9" s="4"/>
      <c r="WEQ9" s="4"/>
      <c r="WER9" s="4"/>
      <c r="WES9" s="4"/>
      <c r="WET9" s="4"/>
      <c r="WEU9" s="4"/>
      <c r="WEV9" s="4"/>
      <c r="WEW9" s="4"/>
      <c r="WEX9" s="4"/>
      <c r="WEY9" s="4"/>
      <c r="WEZ9" s="4"/>
      <c r="WFA9" s="4"/>
      <c r="WFB9" s="4"/>
      <c r="WFC9" s="4"/>
      <c r="WFD9" s="4"/>
      <c r="WFE9" s="4"/>
      <c r="WFF9" s="4"/>
      <c r="WFG9" s="4"/>
      <c r="WFH9" s="4"/>
      <c r="WFI9" s="4"/>
      <c r="WFJ9" s="4"/>
      <c r="WFK9" s="4"/>
      <c r="WFL9" s="4"/>
      <c r="WFM9" s="4"/>
      <c r="WFN9" s="4"/>
      <c r="WFO9" s="4"/>
      <c r="WFP9" s="4"/>
      <c r="WFQ9" s="4"/>
      <c r="WFR9" s="4"/>
      <c r="WFS9" s="4"/>
      <c r="WFT9" s="4"/>
      <c r="WFU9" s="4"/>
      <c r="WFV9" s="4"/>
      <c r="WFW9" s="4"/>
      <c r="WFX9" s="4"/>
      <c r="WFY9" s="4"/>
      <c r="WFZ9" s="4"/>
      <c r="WGA9" s="4"/>
      <c r="WGB9" s="4"/>
      <c r="WGC9" s="4"/>
      <c r="WGD9" s="4"/>
      <c r="WGE9" s="4"/>
      <c r="WGF9" s="4"/>
      <c r="WGG9" s="4"/>
      <c r="WGH9" s="4"/>
      <c r="WGI9" s="4"/>
      <c r="WGJ9" s="4"/>
      <c r="WGK9" s="4"/>
      <c r="WGL9" s="4"/>
      <c r="WGM9" s="4"/>
      <c r="WGN9" s="4"/>
      <c r="WGO9" s="4"/>
      <c r="WGP9" s="4"/>
      <c r="WGQ9" s="4"/>
      <c r="WGR9" s="4"/>
      <c r="WGS9" s="4"/>
      <c r="WGT9" s="4"/>
      <c r="WGU9" s="4"/>
      <c r="WGV9" s="4"/>
      <c r="WGW9" s="4"/>
      <c r="WGX9" s="4"/>
      <c r="WGY9" s="4"/>
      <c r="WGZ9" s="4"/>
      <c r="WHA9" s="4"/>
      <c r="WHB9" s="4"/>
      <c r="WHC9" s="4"/>
      <c r="WHD9" s="4"/>
      <c r="WHE9" s="4"/>
      <c r="WHF9" s="4"/>
      <c r="WHG9" s="4"/>
      <c r="WHH9" s="4"/>
      <c r="WHI9" s="4"/>
      <c r="WHJ9" s="4"/>
      <c r="WHK9" s="4"/>
      <c r="WHL9" s="4"/>
      <c r="WHM9" s="4"/>
      <c r="WHN9" s="4"/>
      <c r="WHO9" s="4"/>
      <c r="WHP9" s="4"/>
      <c r="WHQ9" s="4"/>
      <c r="WHR9" s="4"/>
      <c r="WHS9" s="4"/>
      <c r="WHT9" s="4"/>
      <c r="WHU9" s="4"/>
      <c r="WHV9" s="4"/>
      <c r="WHW9" s="4"/>
      <c r="WHX9" s="4"/>
      <c r="WHY9" s="4"/>
      <c r="WHZ9" s="4"/>
      <c r="WIA9" s="4"/>
      <c r="WIB9" s="4"/>
      <c r="WIC9" s="4"/>
      <c r="WID9" s="4"/>
      <c r="WIE9" s="4"/>
      <c r="WIF9" s="4"/>
      <c r="WIG9" s="4"/>
      <c r="WIH9" s="4"/>
      <c r="WII9" s="4"/>
      <c r="WIJ9" s="4"/>
      <c r="WIK9" s="4"/>
      <c r="WIL9" s="4"/>
      <c r="WIM9" s="4"/>
      <c r="WIN9" s="4"/>
      <c r="WIO9" s="4"/>
      <c r="WIP9" s="4"/>
      <c r="WIQ9" s="4"/>
      <c r="WIR9" s="4"/>
      <c r="WIS9" s="4"/>
      <c r="WIT9" s="4"/>
      <c r="WIU9" s="4"/>
      <c r="WIV9" s="4"/>
      <c r="WIW9" s="4"/>
      <c r="WIX9" s="4"/>
      <c r="WIY9" s="4"/>
      <c r="WIZ9" s="4"/>
      <c r="WJA9" s="4"/>
      <c r="WJB9" s="4"/>
      <c r="WJC9" s="4"/>
      <c r="WJD9" s="4"/>
      <c r="WJE9" s="4"/>
      <c r="WJF9" s="4"/>
      <c r="WJG9" s="4"/>
      <c r="WJH9" s="4"/>
      <c r="WJI9" s="4"/>
      <c r="WJJ9" s="4"/>
      <c r="WJK9" s="4"/>
      <c r="WJL9" s="4"/>
      <c r="WJM9" s="4"/>
      <c r="WJN9" s="4"/>
      <c r="WJO9" s="4"/>
      <c r="WJP9" s="4"/>
      <c r="WJQ9" s="4"/>
      <c r="WJR9" s="4"/>
      <c r="WJS9" s="4"/>
      <c r="WJT9" s="4"/>
      <c r="WJU9" s="4"/>
      <c r="WJV9" s="4"/>
      <c r="WJW9" s="4"/>
      <c r="WJX9" s="4"/>
      <c r="WJY9" s="4"/>
      <c r="WJZ9" s="4"/>
      <c r="WKA9" s="4"/>
      <c r="WKB9" s="4"/>
      <c r="WKC9" s="4"/>
      <c r="WKD9" s="4"/>
      <c r="WKE9" s="4"/>
      <c r="WKF9" s="4"/>
      <c r="WKG9" s="4"/>
      <c r="WKH9" s="4"/>
      <c r="WKI9" s="4"/>
      <c r="WKJ9" s="4"/>
      <c r="WKK9" s="4"/>
      <c r="WKL9" s="4"/>
      <c r="WKM9" s="4"/>
      <c r="WKN9" s="4"/>
      <c r="WKO9" s="4"/>
      <c r="WKP9" s="4"/>
      <c r="WKQ9" s="4"/>
      <c r="WKR9" s="4"/>
      <c r="WKS9" s="4"/>
      <c r="WKT9" s="4"/>
      <c r="WKU9" s="4"/>
      <c r="WKV9" s="4"/>
      <c r="WKW9" s="4"/>
      <c r="WKX9" s="4"/>
      <c r="WKY9" s="4"/>
      <c r="WKZ9" s="4"/>
      <c r="WLA9" s="4"/>
      <c r="WLB9" s="4"/>
      <c r="WLC9" s="4"/>
      <c r="WLD9" s="4"/>
      <c r="WLE9" s="4"/>
      <c r="WLF9" s="4"/>
      <c r="WLG9" s="4"/>
      <c r="WLH9" s="4"/>
      <c r="WLI9" s="4"/>
      <c r="WLJ9" s="4"/>
      <c r="WLK9" s="4"/>
      <c r="WLL9" s="4"/>
      <c r="WLM9" s="4"/>
      <c r="WLN9" s="4"/>
      <c r="WLO9" s="4"/>
      <c r="WLP9" s="4"/>
      <c r="WLQ9" s="4"/>
      <c r="WLR9" s="4"/>
      <c r="WLS9" s="4"/>
      <c r="WLT9" s="4"/>
      <c r="WLU9" s="4"/>
      <c r="WLV9" s="4"/>
      <c r="WLW9" s="4"/>
      <c r="WLX9" s="4"/>
      <c r="WLY9" s="4"/>
      <c r="WLZ9" s="4"/>
      <c r="WMA9" s="4"/>
      <c r="WMB9" s="4"/>
      <c r="WMC9" s="4"/>
      <c r="WMD9" s="4"/>
      <c r="WME9" s="4"/>
      <c r="WMF9" s="4"/>
      <c r="WMG9" s="4"/>
      <c r="WMH9" s="4"/>
      <c r="WMI9" s="4"/>
      <c r="WMJ9" s="4"/>
      <c r="WMK9" s="4"/>
      <c r="WML9" s="4"/>
      <c r="WMM9" s="4"/>
      <c r="WMN9" s="4"/>
      <c r="WMO9" s="4"/>
      <c r="WMP9" s="4"/>
      <c r="WMQ9" s="4"/>
      <c r="WMR9" s="4"/>
      <c r="WMS9" s="4"/>
      <c r="WMT9" s="4"/>
      <c r="WMU9" s="4"/>
      <c r="WMV9" s="4"/>
      <c r="WMW9" s="4"/>
      <c r="WMX9" s="4"/>
      <c r="WMY9" s="4"/>
      <c r="WMZ9" s="4"/>
      <c r="WNA9" s="4"/>
      <c r="WNB9" s="4"/>
      <c r="WNC9" s="4"/>
      <c r="WND9" s="4"/>
      <c r="WNE9" s="4"/>
      <c r="WNF9" s="4"/>
      <c r="WNG9" s="4"/>
      <c r="WNH9" s="4"/>
      <c r="WNI9" s="4"/>
      <c r="WNJ9" s="4"/>
      <c r="WNK9" s="4"/>
      <c r="WNL9" s="4"/>
      <c r="WNM9" s="4"/>
      <c r="WNN9" s="4"/>
      <c r="WNO9" s="4"/>
      <c r="WNP9" s="4"/>
      <c r="WNQ9" s="4"/>
      <c r="WNR9" s="4"/>
      <c r="WNS9" s="4"/>
      <c r="WNT9" s="4"/>
      <c r="WNU9" s="4"/>
      <c r="WNV9" s="4"/>
      <c r="WNW9" s="4"/>
      <c r="WNX9" s="4"/>
      <c r="WNY9" s="4"/>
      <c r="WNZ9" s="4"/>
      <c r="WOA9" s="4"/>
      <c r="WOB9" s="4"/>
      <c r="WOC9" s="4"/>
      <c r="WOD9" s="4"/>
      <c r="WOE9" s="4"/>
      <c r="WOF9" s="4"/>
      <c r="WOG9" s="4"/>
      <c r="WOH9" s="4"/>
      <c r="WOI9" s="4"/>
      <c r="WOJ9" s="4"/>
      <c r="WOK9" s="4"/>
      <c r="WOL9" s="4"/>
      <c r="WOM9" s="4"/>
      <c r="WON9" s="4"/>
      <c r="WOO9" s="4"/>
      <c r="WOP9" s="4"/>
      <c r="WOQ9" s="4"/>
      <c r="WOR9" s="4"/>
      <c r="WOS9" s="4"/>
      <c r="WOT9" s="4"/>
      <c r="WOU9" s="4"/>
      <c r="WOV9" s="4"/>
      <c r="WOW9" s="4"/>
      <c r="WOX9" s="4"/>
      <c r="WOY9" s="4"/>
      <c r="WOZ9" s="4"/>
      <c r="WPA9" s="4"/>
      <c r="WPB9" s="4"/>
      <c r="WPC9" s="4"/>
      <c r="WPD9" s="4"/>
      <c r="WPE9" s="4"/>
      <c r="WPF9" s="4"/>
      <c r="WPG9" s="4"/>
      <c r="WPH9" s="4"/>
      <c r="WPI9" s="4"/>
      <c r="WPJ9" s="4"/>
      <c r="WPK9" s="4"/>
      <c r="WPL9" s="4"/>
      <c r="WPM9" s="4"/>
      <c r="WPN9" s="4"/>
      <c r="WPO9" s="4"/>
      <c r="WPP9" s="4"/>
      <c r="WPQ9" s="4"/>
      <c r="WPR9" s="4"/>
      <c r="WPS9" s="4"/>
      <c r="WPT9" s="4"/>
      <c r="WPU9" s="4"/>
      <c r="WPV9" s="4"/>
      <c r="WPW9" s="4"/>
      <c r="WPX9" s="4"/>
      <c r="WPY9" s="4"/>
      <c r="WPZ9" s="4"/>
      <c r="WQA9" s="4"/>
      <c r="WQB9" s="4"/>
      <c r="WQC9" s="4"/>
      <c r="WQD9" s="4"/>
      <c r="WQE9" s="4"/>
      <c r="WQF9" s="4"/>
      <c r="WQG9" s="4"/>
      <c r="WQH9" s="4"/>
      <c r="WQI9" s="4"/>
      <c r="WQJ9" s="4"/>
      <c r="WQK9" s="4"/>
      <c r="WQL9" s="4"/>
      <c r="WQM9" s="4"/>
      <c r="WQN9" s="4"/>
      <c r="WQO9" s="4"/>
      <c r="WQP9" s="4"/>
      <c r="WQQ9" s="4"/>
      <c r="WQR9" s="4"/>
      <c r="WQS9" s="4"/>
      <c r="WQT9" s="4"/>
      <c r="WQU9" s="4"/>
      <c r="WQV9" s="4"/>
      <c r="WQW9" s="4"/>
      <c r="WQX9" s="4"/>
      <c r="WQY9" s="4"/>
      <c r="WQZ9" s="4"/>
      <c r="WRA9" s="4"/>
      <c r="WRB9" s="4"/>
      <c r="WRC9" s="4"/>
      <c r="WRD9" s="4"/>
      <c r="WRE9" s="4"/>
      <c r="WRF9" s="4"/>
      <c r="WRG9" s="4"/>
      <c r="WRH9" s="4"/>
      <c r="WRI9" s="4"/>
      <c r="WRJ9" s="4"/>
      <c r="WRK9" s="4"/>
      <c r="WRL9" s="4"/>
      <c r="WRM9" s="4"/>
      <c r="WRN9" s="4"/>
      <c r="WRO9" s="4"/>
      <c r="WRP9" s="4"/>
      <c r="WRQ9" s="4"/>
      <c r="WRR9" s="4"/>
      <c r="WRS9" s="4"/>
      <c r="WRT9" s="4"/>
      <c r="WRU9" s="4"/>
      <c r="WRV9" s="4"/>
      <c r="WRW9" s="4"/>
      <c r="WRX9" s="4"/>
      <c r="WRY9" s="4"/>
      <c r="WRZ9" s="4"/>
      <c r="WSA9" s="4"/>
      <c r="WSB9" s="4"/>
      <c r="WSC9" s="4"/>
      <c r="WSD9" s="4"/>
      <c r="WSE9" s="4"/>
      <c r="WSF9" s="4"/>
      <c r="WSG9" s="4"/>
      <c r="WSH9" s="4"/>
      <c r="WSI9" s="4"/>
      <c r="WSJ9" s="4"/>
      <c r="WSK9" s="4"/>
      <c r="WSL9" s="4"/>
      <c r="WSM9" s="4"/>
      <c r="WSN9" s="4"/>
      <c r="WSO9" s="4"/>
      <c r="WSP9" s="4"/>
      <c r="WSQ9" s="4"/>
      <c r="WSR9" s="4"/>
      <c r="WSS9" s="4"/>
      <c r="WST9" s="4"/>
      <c r="WSU9" s="4"/>
      <c r="WSV9" s="4"/>
      <c r="WSW9" s="4"/>
      <c r="WSX9" s="4"/>
      <c r="WSY9" s="4"/>
      <c r="WSZ9" s="4"/>
      <c r="WTA9" s="4"/>
      <c r="WTB9" s="4"/>
      <c r="WTC9" s="4"/>
      <c r="WTD9" s="4"/>
      <c r="WTE9" s="4"/>
      <c r="WTF9" s="4"/>
      <c r="WTG9" s="4"/>
      <c r="WTH9" s="4"/>
      <c r="WTI9" s="4"/>
      <c r="WTJ9" s="4"/>
      <c r="WTK9" s="4"/>
      <c r="WTL9" s="4"/>
      <c r="WTM9" s="4"/>
      <c r="WTN9" s="4"/>
      <c r="WTO9" s="4"/>
      <c r="WTP9" s="4"/>
      <c r="WTQ9" s="4"/>
      <c r="WTR9" s="4"/>
      <c r="WTS9" s="4"/>
      <c r="WTT9" s="4"/>
      <c r="WTU9" s="4"/>
      <c r="WTV9" s="4"/>
      <c r="WTW9" s="4"/>
      <c r="WTX9" s="4"/>
      <c r="WTY9" s="4"/>
      <c r="WTZ9" s="4"/>
      <c r="WUA9" s="4"/>
      <c r="WUB9" s="4"/>
      <c r="WUC9" s="4"/>
      <c r="WUD9" s="4"/>
      <c r="WUE9" s="4"/>
      <c r="WUF9" s="4"/>
      <c r="WUG9" s="4"/>
      <c r="WUH9" s="4"/>
      <c r="WUI9" s="4"/>
      <c r="WUJ9" s="4"/>
      <c r="WUK9" s="4"/>
      <c r="WUL9" s="4"/>
      <c r="WUM9" s="4"/>
      <c r="WUN9" s="4"/>
      <c r="WUO9" s="4"/>
      <c r="WUP9" s="4"/>
      <c r="WUQ9" s="4"/>
      <c r="WUR9" s="4"/>
      <c r="WUS9" s="4"/>
      <c r="WUT9" s="4"/>
      <c r="WUU9" s="4"/>
      <c r="WUV9" s="4"/>
      <c r="WUW9" s="4"/>
      <c r="WUX9" s="4"/>
      <c r="WUY9" s="4"/>
      <c r="WUZ9" s="4"/>
      <c r="WVA9" s="4"/>
      <c r="WVB9" s="4"/>
      <c r="WVC9" s="4"/>
      <c r="WVD9" s="4"/>
      <c r="WVE9" s="4"/>
      <c r="WVF9" s="4"/>
      <c r="WVG9" s="4"/>
      <c r="WVH9" s="4"/>
      <c r="WVI9" s="4"/>
      <c r="WVJ9" s="4"/>
      <c r="WVK9" s="4"/>
      <c r="WVL9" s="4"/>
      <c r="WVM9" s="4"/>
      <c r="WVN9" s="4"/>
      <c r="WVO9" s="4"/>
      <c r="WVP9" s="4"/>
      <c r="WVQ9" s="4"/>
      <c r="WVR9" s="4"/>
      <c r="WVS9" s="4"/>
      <c r="WVT9" s="4"/>
      <c r="WVU9" s="4"/>
      <c r="WVV9" s="4"/>
      <c r="WVW9" s="4"/>
      <c r="WVX9" s="4"/>
      <c r="WVY9" s="4"/>
      <c r="WVZ9" s="4"/>
      <c r="WWA9" s="4"/>
      <c r="WWB9" s="4"/>
      <c r="WWC9" s="4"/>
      <c r="WWD9" s="4"/>
      <c r="WWE9" s="4"/>
      <c r="WWF9" s="4"/>
      <c r="WWG9" s="4"/>
      <c r="WWH9" s="4"/>
      <c r="WWI9" s="4"/>
      <c r="WWJ9" s="4"/>
      <c r="WWK9" s="4"/>
      <c r="WWL9" s="4"/>
      <c r="WWM9" s="4"/>
      <c r="WWN9" s="4"/>
      <c r="WWO9" s="4"/>
      <c r="WWP9" s="4"/>
      <c r="WWQ9" s="4"/>
      <c r="WWR9" s="4"/>
      <c r="WWS9" s="4"/>
      <c r="WWT9" s="4"/>
      <c r="WWU9" s="4"/>
      <c r="WWV9" s="4"/>
      <c r="WWW9" s="4"/>
      <c r="WWX9" s="4"/>
      <c r="WWY9" s="4"/>
      <c r="WWZ9" s="4"/>
      <c r="WXA9" s="4"/>
      <c r="WXB9" s="4"/>
      <c r="WXC9" s="4"/>
      <c r="WXD9" s="4"/>
      <c r="WXE9" s="4"/>
      <c r="WXF9" s="4"/>
      <c r="WXG9" s="4"/>
      <c r="WXH9" s="4"/>
      <c r="WXI9" s="4"/>
      <c r="WXJ9" s="4"/>
      <c r="WXK9" s="4"/>
      <c r="WXL9" s="4"/>
      <c r="WXM9" s="4"/>
      <c r="WXN9" s="4"/>
      <c r="WXO9" s="4"/>
      <c r="WXP9" s="4"/>
      <c r="WXQ9" s="4"/>
      <c r="WXR9" s="4"/>
      <c r="WXS9" s="4"/>
      <c r="WXT9" s="4"/>
      <c r="WXU9" s="4"/>
      <c r="WXV9" s="4"/>
      <c r="WXW9" s="4"/>
      <c r="WXX9" s="4"/>
      <c r="WXY9" s="4"/>
      <c r="WXZ9" s="4"/>
      <c r="WYA9" s="4"/>
      <c r="WYB9" s="4"/>
      <c r="WYC9" s="4"/>
      <c r="WYD9" s="4"/>
      <c r="WYE9" s="4"/>
      <c r="WYF9" s="4"/>
      <c r="WYG9" s="4"/>
      <c r="WYH9" s="4"/>
      <c r="WYI9" s="4"/>
      <c r="WYJ9" s="4"/>
      <c r="WYK9" s="4"/>
      <c r="WYL9" s="4"/>
      <c r="WYM9" s="4"/>
      <c r="WYN9" s="4"/>
      <c r="WYO9" s="4"/>
      <c r="WYP9" s="4"/>
      <c r="WYQ9" s="4"/>
      <c r="WYR9" s="4"/>
      <c r="WYS9" s="4"/>
      <c r="WYT9" s="4"/>
      <c r="WYU9" s="4"/>
      <c r="WYV9" s="4"/>
      <c r="WYW9" s="4"/>
      <c r="WYX9" s="4"/>
      <c r="WYY9" s="4"/>
      <c r="WYZ9" s="4"/>
      <c r="WZA9" s="4"/>
      <c r="WZB9" s="4"/>
      <c r="WZC9" s="4"/>
      <c r="WZD9" s="4"/>
      <c r="WZE9" s="4"/>
      <c r="WZF9" s="4"/>
      <c r="WZG9" s="4"/>
      <c r="WZH9" s="4"/>
      <c r="WZI9" s="4"/>
      <c r="WZJ9" s="4"/>
      <c r="WZK9" s="4"/>
      <c r="WZL9" s="4"/>
      <c r="WZM9" s="4"/>
      <c r="WZN9" s="4"/>
      <c r="WZO9" s="4"/>
      <c r="WZP9" s="4"/>
      <c r="WZQ9" s="4"/>
      <c r="WZR9" s="4"/>
      <c r="WZS9" s="4"/>
      <c r="WZT9" s="4"/>
      <c r="WZU9" s="4"/>
      <c r="WZV9" s="4"/>
      <c r="WZW9" s="4"/>
      <c r="WZX9" s="4"/>
      <c r="WZY9" s="4"/>
      <c r="WZZ9" s="4"/>
      <c r="XAA9" s="4"/>
      <c r="XAB9" s="4"/>
      <c r="XAC9" s="4"/>
      <c r="XAD9" s="4"/>
      <c r="XAE9" s="4"/>
      <c r="XAF9" s="4"/>
      <c r="XAG9" s="4"/>
      <c r="XAH9" s="4"/>
      <c r="XAI9" s="4"/>
      <c r="XAJ9" s="4"/>
      <c r="XAK9" s="4"/>
      <c r="XAL9" s="4"/>
      <c r="XAM9" s="4"/>
      <c r="XAN9" s="4"/>
      <c r="XAO9" s="4"/>
      <c r="XAP9" s="4"/>
      <c r="XAQ9" s="4"/>
      <c r="XAR9" s="4"/>
      <c r="XAS9" s="4"/>
      <c r="XAT9" s="4"/>
      <c r="XAU9" s="4"/>
      <c r="XAV9" s="4"/>
      <c r="XAW9" s="4"/>
      <c r="XAX9" s="4"/>
      <c r="XAY9" s="4"/>
      <c r="XAZ9" s="4"/>
      <c r="XBA9" s="4"/>
      <c r="XBB9" s="4"/>
      <c r="XBC9" s="4"/>
      <c r="XBD9" s="4"/>
      <c r="XBE9" s="4"/>
      <c r="XBF9" s="4"/>
      <c r="XBG9" s="4"/>
      <c r="XBH9" s="4"/>
      <c r="XBI9" s="4"/>
      <c r="XBJ9" s="4"/>
      <c r="XBK9" s="4"/>
      <c r="XBL9" s="4"/>
      <c r="XBM9" s="4"/>
      <c r="XBN9" s="4"/>
      <c r="XBO9" s="4"/>
      <c r="XBP9" s="4"/>
      <c r="XBQ9" s="4"/>
      <c r="XBR9" s="4"/>
      <c r="XBS9" s="4"/>
      <c r="XBT9" s="4"/>
      <c r="XBU9" s="4"/>
      <c r="XBV9" s="4"/>
      <c r="XBW9" s="4"/>
      <c r="XBX9" s="4"/>
      <c r="XBY9" s="4"/>
      <c r="XBZ9" s="4"/>
      <c r="XCA9" s="4"/>
      <c r="XCB9" s="4"/>
      <c r="XCC9" s="4"/>
      <c r="XCD9" s="4"/>
      <c r="XCE9" s="4"/>
      <c r="XCF9" s="4"/>
      <c r="XCG9" s="4"/>
      <c r="XCH9" s="4"/>
      <c r="XCI9" s="4"/>
      <c r="XCJ9" s="4"/>
      <c r="XCK9" s="4"/>
      <c r="XCL9" s="4"/>
      <c r="XCM9" s="4"/>
      <c r="XCN9" s="4"/>
      <c r="XCO9" s="4"/>
      <c r="XCP9" s="4"/>
      <c r="XCQ9" s="4"/>
      <c r="XCR9" s="4"/>
      <c r="XCS9" s="4"/>
      <c r="XCT9" s="4"/>
      <c r="XCU9" s="4"/>
      <c r="XCV9" s="4"/>
      <c r="XCW9" s="4"/>
      <c r="XCX9" s="4"/>
      <c r="XCY9" s="4"/>
      <c r="XCZ9" s="4"/>
      <c r="XDA9" s="4"/>
      <c r="XDB9" s="4"/>
      <c r="XDC9" s="4"/>
      <c r="XDD9" s="4"/>
      <c r="XDE9" s="4"/>
      <c r="XDF9" s="4"/>
      <c r="XDG9" s="4"/>
      <c r="XDH9" s="4"/>
      <c r="XDI9" s="4"/>
      <c r="XDJ9" s="4"/>
      <c r="XDK9" s="4"/>
      <c r="XDL9" s="4"/>
      <c r="XDM9" s="4"/>
      <c r="XDN9" s="4"/>
      <c r="XDO9" s="4"/>
      <c r="XDP9" s="4"/>
      <c r="XDQ9" s="4"/>
      <c r="XDR9" s="4"/>
      <c r="XDS9" s="4"/>
      <c r="XDT9" s="4"/>
      <c r="XDU9" s="4"/>
      <c r="XDV9" s="4"/>
      <c r="XDW9" s="4"/>
      <c r="XDX9" s="4"/>
      <c r="XDY9" s="4"/>
      <c r="XDZ9" s="4"/>
      <c r="XEA9" s="4"/>
      <c r="XEB9" s="4"/>
      <c r="XEC9" s="4"/>
      <c r="XED9" s="4"/>
      <c r="XEE9" s="4"/>
      <c r="XEF9" s="4"/>
      <c r="XEG9" s="4"/>
      <c r="XEH9" s="4"/>
      <c r="XEI9" s="4"/>
      <c r="XEJ9" s="4"/>
      <c r="XEK9" s="4"/>
      <c r="XEL9" s="4"/>
      <c r="XEM9" s="4"/>
      <c r="XEN9" s="4"/>
      <c r="XEO9" s="4"/>
      <c r="XEP9" s="4"/>
      <c r="XEQ9" s="4"/>
      <c r="XER9" s="4"/>
      <c r="XES9" s="4"/>
      <c r="XET9" s="4"/>
      <c r="XEU9" s="4"/>
      <c r="XEV9" s="4"/>
      <c r="XEW9" s="4"/>
      <c r="XEX9" s="4"/>
      <c r="XEY9" s="4"/>
      <c r="XEZ9" s="4"/>
      <c r="XFA9" s="4"/>
    </row>
    <row r="10" spans="1:16381" s="15" customFormat="1" ht="14.45" customHeight="1" x14ac:dyDescent="0.25">
      <c r="A10" s="16" t="s">
        <v>139</v>
      </c>
      <c r="B10" s="16" t="s">
        <v>105</v>
      </c>
      <c r="C10" s="16">
        <v>936730</v>
      </c>
      <c r="D10" s="16" t="s">
        <v>106</v>
      </c>
      <c r="E10" s="11" t="str">
        <f>_xll.BDP(AI10,"ds520")</f>
        <v>Freeport Indonesia PT</v>
      </c>
      <c r="F10" s="11" t="str">
        <f>_xll.BDP(AI10,"crncy")</f>
        <v>USD</v>
      </c>
      <c r="G10" s="34" t="s">
        <v>71</v>
      </c>
      <c r="H10" s="11" t="str">
        <f>IF(_xll.BDP(AI10,"RTG_MOODY")="#N/A N/A","N/A",_xll.BDP(AI10,"RTG_MOODY"))&amp;","&amp;IF(_xll.BDP(AI10,"RTG_FITCH")="#N/A N/A","N/A",_xll.BDP(AI10,"RTG_FITCH"))&amp;","&amp;IF(_xll.BDP(AI10,"RTG_SP")="#N/A N/A","N/A",_xll.BDP(AI10,"RTG_SP"))</f>
        <v>Baa3,BBB,N/A</v>
      </c>
      <c r="I10" s="5">
        <f>_xll.BDP(AI10,"cpn")/100</f>
        <v>6.2E-2</v>
      </c>
      <c r="J10" s="5">
        <f ca="1">_xll.BDP($G10&amp;" isin","YAS_BOND_YLD", "YAS_YLD_FLAG=15", "user_local_trade_date",AN10,"Yas_bond_px",$Q10)/100</f>
        <v>6.7867469999999999E-2</v>
      </c>
      <c r="K10" s="11" t="str">
        <f>_xll.BDP(AI10,"PAYMENT_RANK")</f>
        <v>Sr Unsecured</v>
      </c>
      <c r="L10" s="11" t="str">
        <f>IF((TEXT(_xll.BDP(AI10,"MATURITY"),"DD/MM/YYYY")="#N/A Field Not Applicable"),"Perp",TEXT(_xll.BDP(AI10,"MATURITY"),"DD/MM/YYYY"))</f>
        <v>14/04/2052</v>
      </c>
      <c r="M10" s="6">
        <f>(IF(_xll.BDP($AI10&amp;" ISIN","DU003")="#n/a n/a"," ",_xll.BDP($AI10&amp;" ISIN","DU003")))</f>
        <v>12.57257546550389</v>
      </c>
      <c r="N10" s="11" t="str">
        <f>IF(_xll.BDP(AI10,"CALLABLE")="Y",_xll.BDP(AI10,"NXT_CALL_DT")," ")</f>
        <v>14/10/2051</v>
      </c>
      <c r="O10" s="35">
        <v>600000</v>
      </c>
      <c r="P10" s="34">
        <v>102.61</v>
      </c>
      <c r="Q10" s="13">
        <f>_xll.BDP(AI10,"px_bid")</f>
        <v>92.778000000000006</v>
      </c>
      <c r="R10" s="7">
        <f>IF(F10="USD",AG10,(((_xll.BDP(F10&amp;"USD CURNCY","PX_LAST")))*AG10))</f>
        <v>615660</v>
      </c>
      <c r="S10" s="7">
        <f>IF(F10="USD",AH10,(((_xll.BDP(F10&amp;"USD CURNCY","PX_LAST")))*AH10))+AP10</f>
        <v>574751.33333333337</v>
      </c>
      <c r="T10" s="8">
        <f t="shared" si="0"/>
        <v>-58991.999999999956</v>
      </c>
      <c r="U10" s="9">
        <f t="shared" si="1"/>
        <v>-9.5819120943377772E-2</v>
      </c>
      <c r="V10" s="9" cm="1">
        <f t="array" ref="V10">IFERROR(_xll.BDP($G10&amp;" ISIN","CHG_PCT_1D")/100,"")</f>
        <v>-4.0064944551090687E-3</v>
      </c>
      <c r="W10" s="9" cm="1">
        <f t="array" ref="W10">IFERROR(_xll.BDP($G10&amp;" ISIN","CHG_PCT_5D")/100,"")</f>
        <v>-4.2173114154485783E-2</v>
      </c>
      <c r="X10" s="9" cm="1">
        <f t="array" ref="X10">_xll.BDP($G10&amp;" ISIN","CHG_PCT_1M")/100</f>
        <v>-6.5229341973745025E-2</v>
      </c>
      <c r="Y10" s="9" cm="1">
        <f t="array" ref="Y10">_xll.BDP($G10&amp;" ISIN","CHG_PCT_3M")/100</f>
        <v>-3.8293374006370125E-2</v>
      </c>
      <c r="Z10" s="9" cm="1">
        <f t="array" ref="Z10">_xll.BDP($G10&amp;" ISIN","CHG_PCT_6M")/100</f>
        <v>-0.1083326561458824</v>
      </c>
      <c r="AA10" s="9" cm="1">
        <f t="array" ref="AA10">_xll.BDP($G10&amp;" ISIN","CHG_PCT_YTD")/100</f>
        <v>-5.8040888482394699E-2</v>
      </c>
      <c r="AB10" s="9" t="e">
        <f t="shared" si="2"/>
        <v>#DIV/0!</v>
      </c>
      <c r="AC10" s="12">
        <f t="shared" ca="1" si="3"/>
        <v>-41941.999999999964</v>
      </c>
      <c r="AD10" s="11" t="str">
        <f>_xll.BDP(AI10,"DS199")</f>
        <v>Basic Materials</v>
      </c>
      <c r="AE10" s="13">
        <f>_xll.BDP(AI10,"px_ask")</f>
        <v>93.769000000000005</v>
      </c>
      <c r="AF10" s="12">
        <f>IF(F10="USD",O10,(((_xll.BDP(F10&amp;"USD CURNCY","PX_LAST")))*O10))</f>
        <v>600000</v>
      </c>
      <c r="AG10" s="7">
        <f t="shared" si="4"/>
        <v>615660</v>
      </c>
      <c r="AH10" s="7">
        <f t="shared" si="5"/>
        <v>556668</v>
      </c>
      <c r="AI10" s="11" t="str">
        <f t="shared" si="6"/>
        <v>USY7141BAC73 ISIN</v>
      </c>
      <c r="AJ10" s="11" t="e" cm="1">
        <f t="array" ref="AJ10">VLOOKUP(IF(NOT(_xll.BDP($G10&amp;" CORP",#REF!)="#N/A N/A"),(_xll.BDP($G10&amp;" CORP",#REF!)),"-"), '[1]Country Codes'!$A$2:$B$253,2,0)</f>
        <v>#REF!</v>
      </c>
      <c r="AK10" s="11" t="str" cm="1">
        <f t="array" ref="AK10">IF(OR(_xll.BDP($AI10,"EX028")= "#N/A N/A", _xll.BDP($AI10,"EX028")="#N/A FIELD NOT APPLICABLE"), " ", _xll.BDP($AI10,"EX028"))</f>
        <v>FixedIncome</v>
      </c>
      <c r="AL10" s="5" t="str">
        <f>(IF(_xll.BDP($AI10&amp;" ISIN","DZ282")="Y","Single line Bonds Cocos","Single line Bonds ex Cocos"))</f>
        <v>Single line Bonds ex Cocos</v>
      </c>
      <c r="AM10" s="6">
        <f>(IF(_xll.BDP($G10&amp;" ISIN","SP153")="#n/a n/a"," ",_xll.BDP($G10&amp;" ISIN","SP153")))</f>
        <v>293.92418296183672</v>
      </c>
      <c r="AN10" s="14">
        <f t="shared" ca="1" si="7"/>
        <v>45755</v>
      </c>
      <c r="AO10" s="7">
        <f>(((_xll.BDP(AI10,"DS032"))/360)*I10)*O10</f>
        <v>18083.333333333332</v>
      </c>
      <c r="AP10" s="7">
        <f>IF(F10="USD",AO10,(((_xll.BDP(F10&amp;"USD CURNCY","PX_LAST")))*AO10))</f>
        <v>18083.333333333332</v>
      </c>
      <c r="AQ10" s="9" t="e">
        <f>S10/$S$181</f>
        <v>#DIV/0!</v>
      </c>
      <c r="AR10" s="7">
        <f t="shared" si="8"/>
        <v>556668</v>
      </c>
      <c r="AS10" s="13">
        <f>IF((TEXT(_xll.BDP(AI10,"MATURITY"),"DD/MM/YYYY")="#N/A Field Not Applicable"),"Perp",_xll.BDP(AI10,"DS252"))</f>
        <v>27.017111567419576</v>
      </c>
      <c r="AT10" s="5" t="str">
        <f>(IF(_xll.BDP($AI10&amp;" ISIN","DT247")="Y","Yes","No"))</f>
        <v>No</v>
      </c>
      <c r="AU10" s="5" t="str">
        <f>PROPER(IF(OR(_xll.BDP($AI10,"CPN_TYP")="#n/a N/A",_xll.BDP($AI10,"CPN_TYP")= "#N/A FIELD NOT APPLICABLE"), " ", _xll.BDP($AI10,"CPN_TYP")))</f>
        <v>Fixed</v>
      </c>
      <c r="BG10" s="27" t="str">
        <f t="shared" si="9"/>
        <v>USY7141BAC73</v>
      </c>
      <c r="BH10" s="36">
        <v>45590</v>
      </c>
    </row>
    <row r="11" spans="1:16381" s="15" customFormat="1" ht="14.45" customHeight="1" x14ac:dyDescent="0.25">
      <c r="A11" s="16" t="s">
        <v>138</v>
      </c>
      <c r="B11" s="16" t="s">
        <v>113</v>
      </c>
      <c r="C11" s="16" t="s">
        <v>114</v>
      </c>
      <c r="D11" s="16" t="s">
        <v>100</v>
      </c>
      <c r="E11" s="11" t="str">
        <f>_xll.BDP(AI11,"ds520")</f>
        <v>Freeport Indonesia PT</v>
      </c>
      <c r="F11" s="11" t="str">
        <f>_xll.BDP(AI11,"crncy")</f>
        <v>USD</v>
      </c>
      <c r="G11" s="34" t="s">
        <v>71</v>
      </c>
      <c r="H11" s="11" t="str">
        <f>IF(_xll.BDP(AI11,"RTG_MOODY")="#N/A N/A","N/A",_xll.BDP(AI11,"RTG_MOODY"))&amp;","&amp;IF(_xll.BDP(AI11,"RTG_FITCH")="#N/A N/A","N/A",_xll.BDP(AI11,"RTG_FITCH"))&amp;","&amp;IF(_xll.BDP(AI11,"RTG_SP")="#N/A N/A","N/A",_xll.BDP(AI11,"RTG_SP"))</f>
        <v>Baa3,BBB,N/A</v>
      </c>
      <c r="I11" s="5">
        <f>_xll.BDP(AI11,"cpn")/100</f>
        <v>6.2E-2</v>
      </c>
      <c r="J11" s="5">
        <f ca="1">_xll.BDP($G11&amp;" isin","YAS_BOND_YLD", "YAS_YLD_FLAG=15", "user_local_trade_date",AN11,"Yas_bond_px",$Q11)/100</f>
        <v>6.7867469999999999E-2</v>
      </c>
      <c r="K11" s="11" t="str">
        <f>_xll.BDP(AI11,"PAYMENT_RANK")</f>
        <v>Sr Unsecured</v>
      </c>
      <c r="L11" s="11" t="str">
        <f>IF((TEXT(_xll.BDP(AI11,"MATURITY"),"DD/MM/YYYY")="#N/A Field Not Applicable"),"Perp",TEXT(_xll.BDP(AI11,"MATURITY"),"DD/MM/YYYY"))</f>
        <v>14/04/2052</v>
      </c>
      <c r="M11" s="6">
        <f>(IF(_xll.BDP($AI11&amp;" ISIN","DU003")="#n/a n/a"," ",_xll.BDP($AI11&amp;" ISIN","DU003")))</f>
        <v>12.57257546550389</v>
      </c>
      <c r="N11" s="11" t="str">
        <f>IF(_xll.BDP(AI11,"CALLABLE")="Y",_xll.BDP(AI11,"NXT_CALL_DT")," ")</f>
        <v>14/10/2051</v>
      </c>
      <c r="O11" s="35">
        <v>300000</v>
      </c>
      <c r="P11" s="34">
        <v>99.3</v>
      </c>
      <c r="Q11" s="13">
        <f>_xll.BDP(AI11,"px_bid")</f>
        <v>92.778000000000006</v>
      </c>
      <c r="R11" s="7">
        <f>IF(F11="USD",AG11,(((_xll.BDP(F11&amp;"USD CURNCY","PX_LAST")))*AG11))</f>
        <v>297900</v>
      </c>
      <c r="S11" s="7">
        <f>IF(F11="USD",AH11,(((_xll.BDP(F11&amp;"USD CURNCY","PX_LAST")))*AH11))+AP11</f>
        <v>287375.66666666669</v>
      </c>
      <c r="T11" s="8">
        <f t="shared" si="0"/>
        <v>-19565.999999999975</v>
      </c>
      <c r="U11" s="9">
        <f t="shared" si="1"/>
        <v>-6.5679758308157019E-2</v>
      </c>
      <c r="V11" s="9" cm="1">
        <f t="array" ref="V11">IFERROR(_xll.BDP($G11&amp;" ISIN","CHG_PCT_1D")/100,"")</f>
        <v>-4.0064944551090687E-3</v>
      </c>
      <c r="W11" s="9" cm="1">
        <f t="array" ref="W11">IFERROR(_xll.BDP($G11&amp;" ISIN","CHG_PCT_5D")/100,"")</f>
        <v>-4.2173114154485783E-2</v>
      </c>
      <c r="X11" s="9" cm="1">
        <f t="array" ref="X11">_xll.BDP($G11&amp;" ISIN","CHG_PCT_1M")/100</f>
        <v>-6.5229341973745025E-2</v>
      </c>
      <c r="Y11" s="9" cm="1">
        <f t="array" ref="Y11">_xll.BDP($G11&amp;" ISIN","CHG_PCT_3M")/100</f>
        <v>-3.8293374006370125E-2</v>
      </c>
      <c r="Z11" s="9" cm="1">
        <f t="array" ref="Z11">_xll.BDP($G11&amp;" ISIN","CHG_PCT_6M")/100</f>
        <v>-0.1083326561458824</v>
      </c>
      <c r="AA11" s="9" cm="1">
        <f t="array" ref="AA11">_xll.BDP($G11&amp;" ISIN","CHG_PCT_YTD")/100</f>
        <v>-5.8040888482394699E-2</v>
      </c>
      <c r="AB11" s="9" t="e">
        <f t="shared" si="2"/>
        <v>#DIV/0!</v>
      </c>
      <c r="AC11" s="12">
        <f t="shared" ca="1" si="3"/>
        <v>-3910.9999999999745</v>
      </c>
      <c r="AD11" s="11" t="str">
        <f>_xll.BDP(AI11,"DS199")</f>
        <v>Basic Materials</v>
      </c>
      <c r="AE11" s="13">
        <f>_xll.BDP(AI11,"px_ask")</f>
        <v>93.769000000000005</v>
      </c>
      <c r="AF11" s="12">
        <f>IF(F11="USD",O11,(((_xll.BDP(F11&amp;"USD CURNCY","PX_LAST")))*O11))</f>
        <v>300000</v>
      </c>
      <c r="AG11" s="7">
        <f t="shared" si="4"/>
        <v>297900</v>
      </c>
      <c r="AH11" s="7">
        <f t="shared" si="5"/>
        <v>278334</v>
      </c>
      <c r="AI11" s="11" t="str">
        <f t="shared" si="6"/>
        <v>USY7141BAC73 ISIN</v>
      </c>
      <c r="AJ11" s="11" t="e" cm="1">
        <f t="array" ref="AJ11">VLOOKUP(IF(NOT(_xll.BDP($G11&amp;" CORP",#REF!)="#N/A N/A"),(_xll.BDP($G11&amp;" CORP",#REF!)),"-"), '[1]Country Codes'!$A$2:$B$253,2,0)</f>
        <v>#REF!</v>
      </c>
      <c r="AK11" s="11" t="str" cm="1">
        <f t="array" ref="AK11">IF(OR(_xll.BDP($AI11,"EX028")= "#N/A N/A", _xll.BDP($AI11,"EX028")="#N/A FIELD NOT APPLICABLE"), " ", _xll.BDP($AI11,"EX028"))</f>
        <v>FixedIncome</v>
      </c>
      <c r="AL11" s="5" t="str">
        <f>(IF(_xll.BDP($AI11&amp;" ISIN","DZ282")="Y","Single line Bonds Cocos","Single line Bonds ex Cocos"))</f>
        <v>Single line Bonds ex Cocos</v>
      </c>
      <c r="AM11" s="6">
        <f>(IF(_xll.BDP($G11&amp;" ISIN","SP153")="#n/a n/a"," ",_xll.BDP($G11&amp;" ISIN","SP153")))</f>
        <v>293.92418296183672</v>
      </c>
      <c r="AN11" s="14">
        <f t="shared" ca="1" si="7"/>
        <v>45755</v>
      </c>
      <c r="AO11" s="7">
        <f>(((_xll.BDP(AI11,"DS032"))/360)*I11)*O11</f>
        <v>9041.6666666666661</v>
      </c>
      <c r="AP11" s="7">
        <f>IF(F11="USD",AO11,(((_xll.BDP(F11&amp;"USD CURNCY","PX_LAST")))*AO11))</f>
        <v>9041.6666666666661</v>
      </c>
      <c r="AQ11" s="9" t="e">
        <f>S11/$S$181</f>
        <v>#DIV/0!</v>
      </c>
      <c r="AR11" s="7">
        <f t="shared" si="8"/>
        <v>278334</v>
      </c>
      <c r="AS11" s="13">
        <f>IF((TEXT(_xll.BDP(AI11,"MATURITY"),"DD/MM/YYYY")="#N/A Field Not Applicable"),"Perp",_xll.BDP(AI11,"DS252"))</f>
        <v>27.017111567419576</v>
      </c>
      <c r="AT11" s="5" t="str">
        <f>(IF(_xll.BDP($AI11&amp;" ISIN","DT247")="Y","Yes","No"))</f>
        <v>No</v>
      </c>
      <c r="AU11" s="5" t="str">
        <f>PROPER(IF(OR(_xll.BDP($AI11,"CPN_TYP")="#n/a N/A",_xll.BDP($AI11,"CPN_TYP")= "#N/A FIELD NOT APPLICABLE"), " ", _xll.BDP($AI11,"CPN_TYP")))</f>
        <v>Fixed</v>
      </c>
      <c r="BG11" s="27" t="str">
        <f t="shared" si="9"/>
        <v>USY7141BAC73</v>
      </c>
      <c r="BH11" s="36">
        <v>45452</v>
      </c>
    </row>
    <row r="12" spans="1:16381" s="15" customFormat="1" ht="14.45" customHeight="1" x14ac:dyDescent="0.25">
      <c r="A12" s="16" t="s">
        <v>138</v>
      </c>
      <c r="B12" s="16" t="s">
        <v>95</v>
      </c>
      <c r="C12" s="16" t="s">
        <v>96</v>
      </c>
      <c r="D12" s="16" t="s">
        <v>97</v>
      </c>
      <c r="E12" s="11" t="str">
        <f>_xll.BDP(AI12,"ds520")</f>
        <v>Gaci First Investment Co</v>
      </c>
      <c r="F12" s="11" t="str">
        <f>_xll.BDP(AI12,"crncy")</f>
        <v>USD</v>
      </c>
      <c r="G12" s="34" t="s">
        <v>50</v>
      </c>
      <c r="H12" s="11" t="str">
        <f>IF(_xll.BDP(AI12,"RTG_MOODY")="#N/A N/A","N/A",_xll.BDP(AI12,"RTG_MOODY"))&amp;","&amp;IF(_xll.BDP(AI12,"RTG_FITCH")="#N/A N/A","N/A",_xll.BDP(AI12,"RTG_FITCH"))&amp;","&amp;IF(_xll.BDP(AI12,"RTG_SP")="#N/A N/A","N/A",_xll.BDP(AI12,"RTG_SP"))</f>
        <v>Aa3,A+,N/A</v>
      </c>
      <c r="I12" s="5">
        <f>_xll.BDP(AI12,"cpn")/100</f>
        <v>5.1249999999999997E-2</v>
      </c>
      <c r="J12" s="5">
        <f ca="1">_xll.BDP($G12&amp;" isin","YAS_BOND_YLD", "YAS_YLD_FLAG=15", "user_local_trade_date",AN12,"Yas_bond_px",$Q12)/100</f>
        <v>6.4382889999999998E-2</v>
      </c>
      <c r="K12" s="11" t="str">
        <f>_xll.BDP(AI12,"PAYMENT_RANK")</f>
        <v>Sr Unsecured</v>
      </c>
      <c r="L12" s="11" t="str">
        <f>IF((TEXT(_xll.BDP(AI12,"MATURITY"),"DD/MM/YYYY")="#N/A Field Not Applicable"),"Perp",TEXT(_xll.BDP(AI12,"MATURITY"),"DD/MM/YYYY"))</f>
        <v>14/02/2053</v>
      </c>
      <c r="M12" s="6">
        <f>(IF(_xll.BDP($AI12&amp;" ISIN","DU003")="#n/a n/a"," ",_xll.BDP($AI12&amp;" ISIN","DU003")))</f>
        <v>13.799560803435549</v>
      </c>
      <c r="N12" s="11" t="str">
        <f>IF(_xll.BDP(AI12,"CALLABLE")="Y",_xll.BDP(AI12,"NXT_CALL_DT")," ")</f>
        <v>14/08/2052</v>
      </c>
      <c r="O12" s="35">
        <v>750000</v>
      </c>
      <c r="P12" s="34">
        <v>87.62</v>
      </c>
      <c r="Q12" s="13">
        <f>_xll.BDP(AI12,"px_bid")</f>
        <v>83.087000000000003</v>
      </c>
      <c r="R12" s="7">
        <f>IF(F12="USD",AG12,(((_xll.BDP(F12&amp;"USD CURNCY","PX_LAST")))*AG12))</f>
        <v>657150</v>
      </c>
      <c r="S12" s="7">
        <f>IF(F12="USD",AH12,(((_xll.BDP(F12&amp;"USD CURNCY","PX_LAST")))*AH12))+AP12</f>
        <v>629131.66666666663</v>
      </c>
      <c r="T12" s="8">
        <f t="shared" si="0"/>
        <v>-33997.500000000007</v>
      </c>
      <c r="U12" s="9">
        <f t="shared" si="1"/>
        <v>-5.1734763752567921E-2</v>
      </c>
      <c r="V12" s="9" cm="1">
        <f t="array" ref="V12">IFERROR(_xll.BDP($G12&amp;" ISIN","CHG_PCT_1D")/100,"")</f>
        <v>-2.6002824364226376E-2</v>
      </c>
      <c r="W12" s="9" cm="1">
        <f t="array" ref="W12">IFERROR(_xll.BDP($G12&amp;" ISIN","CHG_PCT_5D")/100,"")</f>
        <v>-2.7569009915987926E-2</v>
      </c>
      <c r="X12" s="9" cm="1">
        <f t="array" ref="X12">_xll.BDP($G12&amp;" ISIN","CHG_PCT_1M")/100</f>
        <v>-3.5414186479270533E-2</v>
      </c>
      <c r="Y12" s="9" cm="1">
        <f t="array" ref="Y12">_xll.BDP($G12&amp;" ISIN","CHG_PCT_3M")/100</f>
        <v>1.6021621884853756E-2</v>
      </c>
      <c r="Z12" s="9" cm="1">
        <f t="array" ref="Z12">_xll.BDP($G12&amp;" ISIN","CHG_PCT_6M")/100</f>
        <v>-5.6525917133005484E-2</v>
      </c>
      <c r="AA12" s="9" cm="1">
        <f t="array" ref="AA12">_xll.BDP($G12&amp;" ISIN","CHG_PCT_YTD")/100</f>
        <v>-2.7245677138726938E-3</v>
      </c>
      <c r="AB12" s="9" t="e">
        <f t="shared" si="2"/>
        <v>#DIV/0!</v>
      </c>
      <c r="AC12" s="12">
        <f t="shared" ca="1" si="3"/>
        <v>382.70833333332848</v>
      </c>
      <c r="AD12" s="11" t="str">
        <f>_xll.BDP(AI12,"DS199")</f>
        <v>Financial</v>
      </c>
      <c r="AE12" s="13">
        <f>_xll.BDP(AI12,"px_ask")</f>
        <v>83.822999999999993</v>
      </c>
      <c r="AF12" s="12">
        <f>IF(F12="USD",O12,(((_xll.BDP(F12&amp;"USD CURNCY","PX_LAST")))*O12))</f>
        <v>750000</v>
      </c>
      <c r="AG12" s="7">
        <f t="shared" si="4"/>
        <v>657150</v>
      </c>
      <c r="AH12" s="7">
        <f t="shared" si="5"/>
        <v>623152.5</v>
      </c>
      <c r="AI12" s="11" t="str">
        <f t="shared" si="6"/>
        <v>XS2585988145 ISIN</v>
      </c>
      <c r="AJ12" s="11" t="e" cm="1">
        <f t="array" ref="AJ12">VLOOKUP(IF(NOT(_xll.BDP($G12&amp;" CORP",#REF!)="#N/A N/A"),(_xll.BDP($G12&amp;" CORP",#REF!)),"-"), '[1]Country Codes'!$A$2:$B$253,2,0)</f>
        <v>#REF!</v>
      </c>
      <c r="AK12" s="11" t="str" cm="1">
        <f t="array" ref="AK12">IF(OR(_xll.BDP($AI12,"EX028")= "#N/A N/A", _xll.BDP($AI12,"EX028")="#N/A FIELD NOT APPLICABLE"), " ", _xll.BDP($AI12,"EX028"))</f>
        <v>FixedIncome</v>
      </c>
      <c r="AL12" s="5" t="str">
        <f>(IF(_xll.BDP($AI12&amp;" ISIN","DZ282")="Y","Single line Bonds Cocos","Single line Bonds ex Cocos"))</f>
        <v>Single line Bonds ex Cocos</v>
      </c>
      <c r="AM12" s="6">
        <f>(IF(_xll.BDP($G12&amp;" ISIN","SP153")="#n/a n/a"," ",_xll.BDP($G12&amp;" ISIN","SP153")))</f>
        <v>260.63639782886025</v>
      </c>
      <c r="AN12" s="14">
        <f t="shared" ca="1" si="7"/>
        <v>45755</v>
      </c>
      <c r="AO12" s="7">
        <f>(((_xll.BDP(AI12,"DS032"))/360)*I12)*O12</f>
        <v>5979.166666666667</v>
      </c>
      <c r="AP12" s="7">
        <f>IF(F12="USD",AO12,(((_xll.BDP(F12&amp;"USD CURNCY","PX_LAST")))*AO12))</f>
        <v>5979.166666666667</v>
      </c>
      <c r="AQ12" s="9" t="e">
        <f>S12/$S$164</f>
        <v>#DIV/0!</v>
      </c>
      <c r="AR12" s="7">
        <f t="shared" si="8"/>
        <v>623152.5</v>
      </c>
      <c r="AS12" s="13">
        <f>IF((TEXT(_xll.BDP(AI12,"MATURITY"),"DD/MM/YYYY")="#N/A Field Not Applicable"),"Perp",_xll.BDP(AI12,"DS252"))</f>
        <v>27.854893908281998</v>
      </c>
      <c r="AT12" s="5" t="str">
        <f>(IF(_xll.BDP($AI12&amp;" ISIN","DT247")="Y","Yes","No"))</f>
        <v>No</v>
      </c>
      <c r="AU12" s="5" t="str">
        <f>PROPER(IF(OR(_xll.BDP($AI12,"CPN_TYP")="#n/a N/A",_xll.BDP($AI12,"CPN_TYP")= "#N/A FIELD NOT APPLICABLE"), " ", _xll.BDP($AI12,"CPN_TYP")))</f>
        <v>Fixed</v>
      </c>
      <c r="BG12" s="27" t="str">
        <f t="shared" si="9"/>
        <v>XS2585988145</v>
      </c>
      <c r="BH12" s="36">
        <v>45433</v>
      </c>
    </row>
    <row r="13" spans="1:16381" s="15" customFormat="1" ht="14.45" customHeight="1" x14ac:dyDescent="0.25">
      <c r="A13" s="16" t="s">
        <v>138</v>
      </c>
      <c r="B13" s="16" t="s">
        <v>88</v>
      </c>
      <c r="C13" s="16" t="s">
        <v>92</v>
      </c>
      <c r="D13" s="16" t="s">
        <v>43</v>
      </c>
      <c r="E13" s="11" t="str">
        <f>_xll.BDP(AI13,"ds520")</f>
        <v>Gaci First Investment Co</v>
      </c>
      <c r="F13" s="11" t="str">
        <f>_xll.BDP(AI13,"crncy")</f>
        <v>USD</v>
      </c>
      <c r="G13" s="34" t="s">
        <v>54</v>
      </c>
      <c r="H13" s="11" t="str">
        <f>IF(_xll.BDP(AI13,"RTG_MOODY")="#N/A N/A","N/A",_xll.BDP(AI13,"RTG_MOODY"))&amp;","&amp;IF(_xll.BDP(AI13,"RTG_FITCH")="#N/A N/A","N/A",_xll.BDP(AI13,"RTG_FITCH"))&amp;","&amp;IF(_xll.BDP(AI13,"RTG_SP")="#N/A N/A","N/A",_xll.BDP(AI13,"RTG_SP"))</f>
        <v>Aa3,A+,N/A</v>
      </c>
      <c r="I13" s="5">
        <f>_xll.BDP(AI13,"cpn")/100</f>
        <v>5.3749999999999999E-2</v>
      </c>
      <c r="J13" s="5">
        <f ca="1">_xll.BDP($G13&amp;" isin","YAS_BOND_YLD", "YAS_YLD_FLAG=15", "user_local_trade_date",AN13,"Yas_bond_px",$Q13)/100</f>
        <v>6.3907499999999992E-2</v>
      </c>
      <c r="K13" s="11" t="str">
        <f>_xll.BDP(AI13,"PAYMENT_RANK")</f>
        <v>Sr Unsecured</v>
      </c>
      <c r="L13" s="11" t="str">
        <f>IF((TEXT(_xll.BDP(AI13,"MATURITY"),"DD/MM/YYYY")="#N/A Field Not Applicable"),"Perp",TEXT(_xll.BDP(AI13,"MATURITY"),"DD/MM/YYYY"))</f>
        <v>29/01/2054</v>
      </c>
      <c r="M13" s="6">
        <f>(IF(_xll.BDP($AI13&amp;" ISIN","DU003")="#n/a n/a"," ",_xll.BDP($AI13&amp;" ISIN","DU003")))</f>
        <v>13.833992762838573</v>
      </c>
      <c r="N13" s="11" t="str">
        <f>IF(_xll.BDP(AI13,"CALLABLE")="Y",_xll.BDP(AI13,"NXT_CALL_DT")," ")</f>
        <v>29/07/2053</v>
      </c>
      <c r="O13" s="35">
        <v>500000</v>
      </c>
      <c r="P13" s="34">
        <v>92.15</v>
      </c>
      <c r="Q13" s="13">
        <f>_xll.BDP(AI13,"px_bid")</f>
        <v>86.691999999999993</v>
      </c>
      <c r="R13" s="7">
        <f>IF(F13="USD",AG13,(((_xll.BDP(F13&amp;"USD CURNCY","PX_LAST")))*AG13))</f>
        <v>460750</v>
      </c>
      <c r="S13" s="7">
        <f>IF(F13="USD",AH13,(((_xll.BDP(F13&amp;"USD CURNCY","PX_LAST")))*AH13))+AP13</f>
        <v>438760.34722222225</v>
      </c>
      <c r="T13" s="8">
        <f t="shared" si="0"/>
        <v>-27290.000000000062</v>
      </c>
      <c r="U13" s="9">
        <f t="shared" si="1"/>
        <v>-5.922951709169845E-2</v>
      </c>
      <c r="V13" s="9" cm="1">
        <f t="array" ref="V13">IFERROR(_xll.BDP($G13&amp;" ISIN","CHG_PCT_1D")/100,"")</f>
        <v>-2.7628258101981149E-2</v>
      </c>
      <c r="W13" s="9" cm="1">
        <f t="array" ref="W13">IFERROR(_xll.BDP($G13&amp;" ISIN","CHG_PCT_5D")/100,"")</f>
        <v>-3.2705296836118052E-2</v>
      </c>
      <c r="X13" s="9" cm="1">
        <f t="array" ref="X13">_xll.BDP($G13&amp;" ISIN","CHG_PCT_1M")/100</f>
        <v>-3.1726438698915699E-2</v>
      </c>
      <c r="Y13" s="9" cm="1">
        <f t="array" ref="Y13">_xll.BDP($G13&amp;" ISIN","CHG_PCT_3M")/100</f>
        <v>2.1552179269079642E-2</v>
      </c>
      <c r="Z13" s="9" cm="1">
        <f t="array" ref="Z13">_xll.BDP($G13&amp;" ISIN","CHG_PCT_6M")/100</f>
        <v>-4.8913162206444503E-2</v>
      </c>
      <c r="AA13" s="9" cm="1">
        <f t="array" ref="AA13">_xll.BDP($G13&amp;" ISIN","CHG_PCT_YTD")/100</f>
        <v>1.7717849007109732E-3</v>
      </c>
      <c r="AB13" s="9" t="e">
        <f t="shared" si="2"/>
        <v>#DIV/0!</v>
      </c>
      <c r="AC13" s="12">
        <f t="shared" ca="1" si="3"/>
        <v>-14300.416666666732</v>
      </c>
      <c r="AD13" s="11" t="str">
        <f>_xll.BDP(AI13,"DS199")</f>
        <v>Financial</v>
      </c>
      <c r="AE13" s="13">
        <f>_xll.BDP(AI13,"px_ask")</f>
        <v>87.451999999999998</v>
      </c>
      <c r="AF13" s="12">
        <f>IF(F13="USD",O13,(((_xll.BDP(F13&amp;"USD CURNCY","PX_LAST")))*O13))</f>
        <v>500000</v>
      </c>
      <c r="AG13" s="7">
        <f t="shared" si="4"/>
        <v>460750</v>
      </c>
      <c r="AH13" s="7">
        <f t="shared" si="5"/>
        <v>433460</v>
      </c>
      <c r="AI13" s="11" t="str">
        <f t="shared" si="6"/>
        <v>XS2755904872 ISIN</v>
      </c>
      <c r="AJ13" s="11" t="e" cm="1">
        <f t="array" ref="AJ13">VLOOKUP(IF(NOT(_xll.BDP($G13&amp;" CORP",#REF!)="#N/A N/A"),(_xll.BDP($G13&amp;" CORP",#REF!)),"-"), '[1]Country Codes'!$A$2:$B$253,2,0)</f>
        <v>#REF!</v>
      </c>
      <c r="AK13" s="11" t="str" cm="1">
        <f t="array" ref="AK13">IF(OR(_xll.BDP($AI13,"EX028")= "#N/A N/A", _xll.BDP($AI13,"EX028")="#N/A FIELD NOT APPLICABLE"), " ", _xll.BDP($AI13,"EX028"))</f>
        <v>FixedIncome</v>
      </c>
      <c r="AL13" s="5" t="str">
        <f>(IF(_xll.BDP($AI13&amp;" ISIN","DZ282")="Y","Single line Bonds Cocos","Single line Bonds ex Cocos"))</f>
        <v>Single line Bonds ex Cocos</v>
      </c>
      <c r="AM13" s="6">
        <f>(IF(_xll.BDP($G13&amp;" ISIN","SP153")="#n/a n/a"," ",_xll.BDP($G13&amp;" ISIN","SP153")))</f>
        <v>256.7955417889911</v>
      </c>
      <c r="AN13" s="14">
        <f t="shared" ca="1" si="7"/>
        <v>45755</v>
      </c>
      <c r="AO13" s="7">
        <f>(((_xll.BDP(AI13,"DS032"))/360)*I13)*O13</f>
        <v>5300.3472222222217</v>
      </c>
      <c r="AP13" s="7">
        <f>IF(F13="USD",AO13,(((_xll.BDP(F13&amp;"USD CURNCY","PX_LAST")))*AO13))</f>
        <v>5300.3472222222217</v>
      </c>
      <c r="AQ13" s="9" t="e">
        <f>S13/#REF!</f>
        <v>#REF!</v>
      </c>
      <c r="AR13" s="7">
        <f t="shared" si="8"/>
        <v>433460</v>
      </c>
      <c r="AS13" s="13">
        <f>IF((TEXT(_xll.BDP(AI13,"MATURITY"),"DD/MM/YYYY")="#N/A Field Not Applicable"),"Perp",_xll.BDP(AI13,"DS252"))</f>
        <v>28.810403832991103</v>
      </c>
      <c r="AT13" s="5" t="str">
        <f>(IF(_xll.BDP($AI13&amp;" ISIN","DT247")="Y","Yes","No"))</f>
        <v>No</v>
      </c>
      <c r="AU13" s="5" t="str">
        <f>PROPER(IF(OR(_xll.BDP($AI13,"CPN_TYP")="#n/a N/A",_xll.BDP($AI13,"CPN_TYP")= "#N/A FIELD NOT APPLICABLE"), " ", _xll.BDP($AI13,"CPN_TYP")))</f>
        <v>Fixed</v>
      </c>
      <c r="BG13" s="27" t="str">
        <f t="shared" si="9"/>
        <v>XS2755904872</v>
      </c>
      <c r="BH13" s="36">
        <v>45581</v>
      </c>
    </row>
    <row r="14" spans="1:16381" s="15" customFormat="1" ht="14.45" customHeight="1" x14ac:dyDescent="0.25">
      <c r="A14" s="16" t="s">
        <v>139</v>
      </c>
      <c r="B14" s="16" t="s">
        <v>103</v>
      </c>
      <c r="C14" s="16">
        <v>4389270</v>
      </c>
      <c r="D14" s="16" t="s">
        <v>104</v>
      </c>
      <c r="E14" s="11" t="str">
        <f>_xll.BDP(AI14,"ds520")</f>
        <v>Gaci First Investment Co</v>
      </c>
      <c r="F14" s="11" t="str">
        <f>_xll.BDP(AI14,"crncy")</f>
        <v>USD</v>
      </c>
      <c r="G14" s="34" t="s">
        <v>54</v>
      </c>
      <c r="H14" s="11" t="str">
        <f>IF(_xll.BDP(AI14,"RTG_MOODY")="#N/A N/A","N/A",_xll.BDP(AI14,"RTG_MOODY"))&amp;","&amp;IF(_xll.BDP(AI14,"RTG_FITCH")="#N/A N/A","N/A",_xll.BDP(AI14,"RTG_FITCH"))&amp;","&amp;IF(_xll.BDP(AI14,"RTG_SP")="#N/A N/A","N/A",_xll.BDP(AI14,"RTG_SP"))</f>
        <v>Aa3,A+,N/A</v>
      </c>
      <c r="I14" s="5">
        <f>_xll.BDP(AI14,"cpn")/100</f>
        <v>5.3749999999999999E-2</v>
      </c>
      <c r="J14" s="5">
        <f ca="1">_xll.BDP($G14&amp;" isin","YAS_BOND_YLD", "YAS_YLD_FLAG=15", "user_local_trade_date",AN14,"Yas_bond_px",$Q14)/100</f>
        <v>6.3907499999999992E-2</v>
      </c>
      <c r="K14" s="11" t="str">
        <f>_xll.BDP(AI14,"PAYMENT_RANK")</f>
        <v>Sr Unsecured</v>
      </c>
      <c r="L14" s="11" t="str">
        <f>IF((TEXT(_xll.BDP(AI14,"MATURITY"),"DD/MM/YYYY")="#N/A Field Not Applicable"),"Perp",TEXT(_xll.BDP(AI14,"MATURITY"),"DD/MM/YYYY"))</f>
        <v>29/01/2054</v>
      </c>
      <c r="M14" s="6">
        <f>(IF(_xll.BDP($AI14&amp;" ISIN","DU003")="#n/a n/a"," ",_xll.BDP($AI14&amp;" ISIN","DU003")))</f>
        <v>13.833992762838573</v>
      </c>
      <c r="N14" s="11" t="str">
        <f>IF(_xll.BDP(AI14,"CALLABLE")="Y",_xll.BDP(AI14,"NXT_CALL_DT")," ")</f>
        <v>29/07/2053</v>
      </c>
      <c r="O14" s="35">
        <v>300000</v>
      </c>
      <c r="P14" s="34">
        <v>90.3</v>
      </c>
      <c r="Q14" s="13">
        <f>_xll.BDP(AI14,"px_bid")</f>
        <v>86.691999999999993</v>
      </c>
      <c r="R14" s="7">
        <f>IF(F14="USD",AG14,(((_xll.BDP(F14&amp;"USD CURNCY","PX_LAST")))*AG14))</f>
        <v>270900</v>
      </c>
      <c r="S14" s="7">
        <f>IF(F14="USD",AH14,(((_xll.BDP(F14&amp;"USD CURNCY","PX_LAST")))*AH14))+AP14</f>
        <v>263212.64383561641</v>
      </c>
      <c r="T14" s="8">
        <f t="shared" si="0"/>
        <v>-10824.000000000013</v>
      </c>
      <c r="U14" s="9">
        <f t="shared" si="1"/>
        <v>-3.9955703211517209E-2</v>
      </c>
      <c r="V14" s="9" cm="1">
        <f t="array" ref="V14">IFERROR(_xll.BDP($G14&amp;" ISIN","CHG_PCT_1D")/100,"")</f>
        <v>-2.7628258101981149E-2</v>
      </c>
      <c r="W14" s="9" cm="1">
        <f t="array" ref="W14">IFERROR(_xll.BDP($G14&amp;" ISIN","CHG_PCT_5D")/100,"")</f>
        <v>-3.2705296836118052E-2</v>
      </c>
      <c r="X14" s="9" cm="1">
        <f t="array" ref="X14">_xll.BDP($G14&amp;" ISIN","CHG_PCT_1M")/100</f>
        <v>-3.1726438698915699E-2</v>
      </c>
      <c r="Y14" s="9" cm="1">
        <f t="array" ref="Y14">_xll.BDP($G14&amp;" ISIN","CHG_PCT_3M")/100</f>
        <v>2.1552179269079642E-2</v>
      </c>
      <c r="Z14" s="9" cm="1">
        <f t="array" ref="Z14">_xll.BDP($G14&amp;" ISIN","CHG_PCT_6M")/100</f>
        <v>-4.8913162206444503E-2</v>
      </c>
      <c r="AA14" s="9" cm="1">
        <f t="array" ref="AA14">_xll.BDP($G14&amp;" ISIN","CHG_PCT_YTD")/100</f>
        <v>1.7717849007109732E-3</v>
      </c>
      <c r="AB14" s="9" t="e">
        <f t="shared" si="2"/>
        <v>#DIV/0!</v>
      </c>
      <c r="AC14" s="12">
        <f t="shared" ca="1" si="3"/>
        <v>-3343.7916666666788</v>
      </c>
      <c r="AD14" s="11" t="str">
        <f>_xll.BDP(AI14,"DS199")</f>
        <v>Financial</v>
      </c>
      <c r="AE14" s="13">
        <f>_xll.BDP(AI14,"px_ask")</f>
        <v>87.451999999999998</v>
      </c>
      <c r="AF14" s="12">
        <f>IF(F14="USD",O14,(((_xll.BDP(F14&amp;"USD CURNCY","PX_LAST")))*O14))</f>
        <v>300000</v>
      </c>
      <c r="AG14" s="7">
        <f t="shared" si="4"/>
        <v>270900</v>
      </c>
      <c r="AH14" s="7">
        <f t="shared" si="5"/>
        <v>260075.99999999997</v>
      </c>
      <c r="AI14" s="11" t="str">
        <f t="shared" si="6"/>
        <v>XS2755904872 ISIN</v>
      </c>
      <c r="AJ14" s="11" t="e" cm="1">
        <f t="array" ref="AJ14">VLOOKUP(IF(NOT(_xll.BDP($G14&amp;" CORP",#REF!)="#N/A N/A"),(_xll.BDP($G14&amp;" CORP",#REF!)),"-"), '[1]Country Codes'!$A$2:$B$253,2,0)</f>
        <v>#REF!</v>
      </c>
      <c r="AK14" s="11" t="str" cm="1">
        <f t="array" ref="AK14">IF(OR(_xll.BDP($AI14,"EX028")= "#N/A N/A", _xll.BDP($AI14,"EX028")="#N/A FIELD NOT APPLICABLE"), " ", _xll.BDP($AI14,"EX028"))</f>
        <v>FixedIncome</v>
      </c>
      <c r="AL14" s="5" t="str">
        <f>(IF(_xll.BDP($AI14&amp;" ISIN","DZ282")="Y","Single line Bonds Cocos","Single line Bonds ex Cocos"))</f>
        <v>Single line Bonds ex Cocos</v>
      </c>
      <c r="AM14" s="6">
        <f>(IF(_xll.BDP($G14&amp;" ISIN","SP153")="#n/a n/a"," ",_xll.BDP($G14&amp;" ISIN","SP153")))</f>
        <v>256.7955417889911</v>
      </c>
      <c r="AN14" s="14">
        <f t="shared" ca="1" si="7"/>
        <v>45755</v>
      </c>
      <c r="AO14" s="7">
        <f>(((_xll.BDP(AI14,"DS032"))/365)*I14)*O14</f>
        <v>3136.6438356164385</v>
      </c>
      <c r="AP14" s="7">
        <f>IF(F14="USD",AO14,(((_xll.BDP(F14&amp;"USD CURNCY","PX_LAST")))*AO14))</f>
        <v>3136.6438356164385</v>
      </c>
      <c r="AQ14" s="9" t="e">
        <f>S14/$S$172</f>
        <v>#DIV/0!</v>
      </c>
      <c r="AR14" s="7">
        <f t="shared" si="8"/>
        <v>260075.99999999997</v>
      </c>
      <c r="AS14" s="13">
        <f>IF((TEXT(_xll.BDP(AI14,"MATURITY"),"DD/MM/YYYY")="#N/A Field Not Applicable"),"Perp",_xll.BDP(AI14,"DS252"))</f>
        <v>28.810403832991103</v>
      </c>
      <c r="AT14" s="5" t="str">
        <f>(IF(_xll.BDP($AI14&amp;" ISIN","DT247")="Y","Yes","No"))</f>
        <v>No</v>
      </c>
      <c r="AU14" s="5" t="str">
        <f>PROPER(IF(OR(_xll.BDP($AI14,"CPN_TYP")="#n/a N/A",_xll.BDP($AI14,"CPN_TYP")= "#N/A FIELD NOT APPLICABLE"), " ", _xll.BDP($AI14,"CPN_TYP")))</f>
        <v>Fixed</v>
      </c>
      <c r="BG14" s="27" t="str">
        <f t="shared" si="9"/>
        <v>XS2755904872</v>
      </c>
      <c r="BH14" s="36">
        <v>45588</v>
      </c>
    </row>
    <row r="15" spans="1:16381" s="15" customFormat="1" ht="14.45" customHeight="1" x14ac:dyDescent="0.25">
      <c r="A15" s="16" t="s">
        <v>139</v>
      </c>
      <c r="B15" s="16" t="s">
        <v>111</v>
      </c>
      <c r="C15" s="16">
        <v>4392010</v>
      </c>
      <c r="D15" s="16" t="s">
        <v>104</v>
      </c>
      <c r="E15" s="11" t="str">
        <f>_xll.BDP(AI15,"ds520")</f>
        <v>Gaci First Investment Co</v>
      </c>
      <c r="F15" s="11" t="str">
        <f>_xll.BDP(AI15,"crncy")</f>
        <v>USD</v>
      </c>
      <c r="G15" s="34" t="s">
        <v>54</v>
      </c>
      <c r="H15" s="11" t="str">
        <f>IF(_xll.BDP(AI15,"RTG_MOODY")="#N/A N/A","N/A",_xll.BDP(AI15,"RTG_MOODY"))&amp;","&amp;IF(_xll.BDP(AI15,"RTG_FITCH")="#N/A N/A","N/A",_xll.BDP(AI15,"RTG_FITCH"))&amp;","&amp;IF(_xll.BDP(AI15,"RTG_SP")="#N/A N/A","N/A",_xll.BDP(AI15,"RTG_SP"))</f>
        <v>Aa3,A+,N/A</v>
      </c>
      <c r="I15" s="5">
        <f>_xll.BDP(AI15,"cpn")/100</f>
        <v>5.3749999999999999E-2</v>
      </c>
      <c r="J15" s="5">
        <f ca="1">_xll.BDP($G15&amp;" isin","YAS_BOND_YLD", "YAS_YLD_FLAG=15", "user_local_trade_date",AN15,"Yas_bond_px",$Q15)/100</f>
        <v>6.3907499999999992E-2</v>
      </c>
      <c r="K15" s="11" t="str">
        <f>_xll.BDP(AI15,"PAYMENT_RANK")</f>
        <v>Sr Unsecured</v>
      </c>
      <c r="L15" s="11" t="str">
        <f>IF((TEXT(_xll.BDP(AI15,"MATURITY"),"DD/MM/YYYY")="#N/A Field Not Applicable"),"Perp",TEXT(_xll.BDP(AI15,"MATURITY"),"DD/MM/YYYY"))</f>
        <v>29/01/2054</v>
      </c>
      <c r="M15" s="6">
        <f>(IF(_xll.BDP($AI15&amp;" ISIN","DU003")="#n/a n/a"," ",_xll.BDP($AI15&amp;" ISIN","DU003")))</f>
        <v>13.833992762838573</v>
      </c>
      <c r="N15" s="11" t="str">
        <f>IF(_xll.BDP(AI15,"CALLABLE")="Y",_xll.BDP(AI15,"NXT_CALL_DT")," ")</f>
        <v>29/07/2053</v>
      </c>
      <c r="O15" s="35">
        <v>500000</v>
      </c>
      <c r="P15" s="34">
        <v>90.25</v>
      </c>
      <c r="Q15" s="13">
        <f>_xll.BDP(AI15,"px_bid")</f>
        <v>86.691999999999993</v>
      </c>
      <c r="R15" s="7">
        <f>IF(F15="USD",AG15,(((_xll.BDP(F15&amp;"USD CURNCY","PX_LAST")))*AG15))</f>
        <v>451250</v>
      </c>
      <c r="S15" s="7">
        <f>IF(F15="USD",AH15,(((_xll.BDP(F15&amp;"USD CURNCY","PX_LAST")))*AH15))+AP15</f>
        <v>438687.73972602742</v>
      </c>
      <c r="T15" s="8">
        <f t="shared" si="0"/>
        <v>-17790.000000000036</v>
      </c>
      <c r="U15" s="9">
        <f t="shared" si="1"/>
        <v>-3.942382271468152E-2</v>
      </c>
      <c r="V15" s="9" cm="1">
        <f t="array" ref="V15">IFERROR(_xll.BDP($G15&amp;" ISIN","CHG_PCT_1D")/100,"")</f>
        <v>-2.7628258101981149E-2</v>
      </c>
      <c r="W15" s="9" cm="1">
        <f t="array" ref="W15">IFERROR(_xll.BDP($G15&amp;" ISIN","CHG_PCT_5D")/100,"")</f>
        <v>-3.2705296836118052E-2</v>
      </c>
      <c r="X15" s="9" cm="1">
        <f t="array" ref="X15">_xll.BDP($G15&amp;" ISIN","CHG_PCT_1M")/100</f>
        <v>-3.1726438698915699E-2</v>
      </c>
      <c r="Y15" s="9" cm="1">
        <f t="array" ref="Y15">_xll.BDP($G15&amp;" ISIN","CHG_PCT_3M")/100</f>
        <v>2.1552179269079642E-2</v>
      </c>
      <c r="Z15" s="9" cm="1">
        <f t="array" ref="Z15">_xll.BDP($G15&amp;" ISIN","CHG_PCT_6M")/100</f>
        <v>-4.8913162206444503E-2</v>
      </c>
      <c r="AA15" s="9" cm="1">
        <f t="array" ref="AA15">_xll.BDP($G15&amp;" ISIN","CHG_PCT_YTD")/100</f>
        <v>1.7717849007109732E-3</v>
      </c>
      <c r="AB15" s="9" t="e">
        <f t="shared" si="2"/>
        <v>#DIV/0!</v>
      </c>
      <c r="AC15" s="12">
        <f t="shared" ca="1" si="3"/>
        <v>-5322.9861111111477</v>
      </c>
      <c r="AD15" s="11" t="str">
        <f>_xll.BDP(AI15,"DS199")</f>
        <v>Financial</v>
      </c>
      <c r="AE15" s="13">
        <f>_xll.BDP(AI15,"px_ask")</f>
        <v>87.451999999999998</v>
      </c>
      <c r="AF15" s="12">
        <f>IF(F15="USD",O15,(((_xll.BDP(F15&amp;"USD CURNCY","PX_LAST")))*O15))</f>
        <v>500000</v>
      </c>
      <c r="AG15" s="7">
        <f t="shared" si="4"/>
        <v>451250</v>
      </c>
      <c r="AH15" s="7">
        <f t="shared" si="5"/>
        <v>433460</v>
      </c>
      <c r="AI15" s="11" t="str">
        <f t="shared" si="6"/>
        <v>XS2755904872 ISIN</v>
      </c>
      <c r="AJ15" s="11" t="e" cm="1">
        <f t="array" ref="AJ15">VLOOKUP(IF(NOT(_xll.BDP($G15&amp;" CORP",#REF!)="#N/A N/A"),(_xll.BDP($G15&amp;" CORP",#REF!)),"-"), '[1]Country Codes'!$A$2:$B$253,2,0)</f>
        <v>#REF!</v>
      </c>
      <c r="AK15" s="11" t="str" cm="1">
        <f t="array" ref="AK15">IF(OR(_xll.BDP($AI15,"EX028")= "#N/A N/A", _xll.BDP($AI15,"EX028")="#N/A FIELD NOT APPLICABLE"), " ", _xll.BDP($AI15,"EX028"))</f>
        <v>FixedIncome</v>
      </c>
      <c r="AL15" s="5" t="str">
        <f>(IF(_xll.BDP($AI15&amp;" ISIN","DZ282")="Y","Single line Bonds Cocos","Single line Bonds ex Cocos"))</f>
        <v>Single line Bonds ex Cocos</v>
      </c>
      <c r="AM15" s="6">
        <f>(IF(_xll.BDP($G15&amp;" ISIN","SP153")="#n/a n/a"," ",_xll.BDP($G15&amp;" ISIN","SP153")))</f>
        <v>256.7955417889911</v>
      </c>
      <c r="AN15" s="14">
        <f t="shared" ca="1" si="7"/>
        <v>45755</v>
      </c>
      <c r="AO15" s="7">
        <f>(((_xll.BDP(AI15,"DS032"))/365)*I15)*O15</f>
        <v>5227.7397260273974</v>
      </c>
      <c r="AP15" s="7">
        <f>IF(F15="USD",AO15,(((_xll.BDP(F15&amp;"USD CURNCY","PX_LAST")))*AO15))</f>
        <v>5227.7397260273974</v>
      </c>
      <c r="AQ15" s="9" t="e">
        <f>S15/$S$180</f>
        <v>#DIV/0!</v>
      </c>
      <c r="AR15" s="7">
        <f t="shared" si="8"/>
        <v>433460</v>
      </c>
      <c r="AS15" s="13">
        <f>IF((TEXT(_xll.BDP(AI15,"MATURITY"),"DD/MM/YYYY")="#N/A Field Not Applicable"),"Perp",_xll.BDP(AI15,"DS252"))</f>
        <v>28.810403832991103</v>
      </c>
      <c r="AT15" s="5" t="str">
        <f>(IF(_xll.BDP($AI15&amp;" ISIN","DT247")="Y","Yes","No"))</f>
        <v>No</v>
      </c>
      <c r="AU15" s="5" t="str">
        <f>PROPER(IF(OR(_xll.BDP($AI15,"CPN_TYP")="#n/a N/A",_xll.BDP($AI15,"CPN_TYP")= "#N/A FIELD NOT APPLICABLE"), " ", _xll.BDP($AI15,"CPN_TYP")))</f>
        <v>Fixed</v>
      </c>
      <c r="BG15" s="27" t="str">
        <f t="shared" si="9"/>
        <v>XS2755904872</v>
      </c>
      <c r="BH15" s="36">
        <v>45588</v>
      </c>
    </row>
    <row r="16" spans="1:16381" s="15" customFormat="1" ht="14.45" customHeight="1" x14ac:dyDescent="0.25">
      <c r="A16" s="16" t="s">
        <v>139</v>
      </c>
      <c r="B16" s="16" t="s">
        <v>111</v>
      </c>
      <c r="C16" s="16">
        <v>4392010</v>
      </c>
      <c r="D16" s="16" t="s">
        <v>104</v>
      </c>
      <c r="E16" s="11" t="str">
        <f>_xll.BDP(AI16,"ds520")</f>
        <v>Gaci First Investment Co</v>
      </c>
      <c r="F16" s="11" t="str">
        <f>_xll.BDP(AI16,"crncy")</f>
        <v>USD</v>
      </c>
      <c r="G16" s="34" t="s">
        <v>54</v>
      </c>
      <c r="H16" s="11" t="str">
        <f>IF(_xll.BDP(AI16,"RTG_MOODY")="#N/A N/A","N/A",_xll.BDP(AI16,"RTG_MOODY"))&amp;","&amp;IF(_xll.BDP(AI16,"RTG_FITCH")="#N/A N/A","N/A",_xll.BDP(AI16,"RTG_FITCH"))&amp;","&amp;IF(_xll.BDP(AI16,"RTG_SP")="#N/A N/A","N/A",_xll.BDP(AI16,"RTG_SP"))</f>
        <v>Aa3,A+,N/A</v>
      </c>
      <c r="I16" s="5">
        <f>_xll.BDP(AI16,"cpn")/100</f>
        <v>5.3749999999999999E-2</v>
      </c>
      <c r="J16" s="5">
        <f ca="1">_xll.BDP($G16&amp;" isin","YAS_BOND_YLD", "YAS_YLD_FLAG=15", "user_local_trade_date",AN16,"Yas_bond_px",$Q16)/100</f>
        <v>6.3907499999999992E-2</v>
      </c>
      <c r="K16" s="11" t="str">
        <f>_xll.BDP(AI16,"PAYMENT_RANK")</f>
        <v>Sr Unsecured</v>
      </c>
      <c r="L16" s="11" t="str">
        <f>IF((TEXT(_xll.BDP(AI16,"MATURITY"),"DD/MM/YYYY")="#N/A Field Not Applicable"),"Perp",TEXT(_xll.BDP(AI16,"MATURITY"),"DD/MM/YYYY"))</f>
        <v>29/01/2054</v>
      </c>
      <c r="M16" s="6">
        <f>(IF(_xll.BDP($AI16&amp;" ISIN","DU003")="#n/a n/a"," ",_xll.BDP($AI16&amp;" ISIN","DU003")))</f>
        <v>13.833992762838573</v>
      </c>
      <c r="N16" s="11" t="str">
        <f>IF(_xll.BDP(AI16,"CALLABLE")="Y",_xll.BDP(AI16,"NXT_CALL_DT")," ")</f>
        <v>29/07/2053</v>
      </c>
      <c r="O16" s="35">
        <v>600000</v>
      </c>
      <c r="P16" s="34">
        <v>88.52</v>
      </c>
      <c r="Q16" s="13">
        <f>_xll.BDP(AI16,"px_bid")</f>
        <v>86.691999999999993</v>
      </c>
      <c r="R16" s="7">
        <f>IF(F16="USD",AG16,(((_xll.BDP(F16&amp;"USD CURNCY","PX_LAST")))*AG16))</f>
        <v>531120</v>
      </c>
      <c r="S16" s="7">
        <f>IF(F16="USD",AH16,(((_xll.BDP(F16&amp;"USD CURNCY","PX_LAST")))*AH16))+AP16</f>
        <v>526425.28767123283</v>
      </c>
      <c r="T16" s="8">
        <f t="shared" si="0"/>
        <v>-10968.000000000018</v>
      </c>
      <c r="U16" s="9">
        <f t="shared" si="1"/>
        <v>-2.0650700406687789E-2</v>
      </c>
      <c r="V16" s="9" cm="1">
        <f t="array" ref="V16">IFERROR(_xll.BDP($G16&amp;" ISIN","CHG_PCT_1D")/100,"")</f>
        <v>-2.7628258101981149E-2</v>
      </c>
      <c r="W16" s="9" cm="1">
        <f t="array" ref="W16">IFERROR(_xll.BDP($G16&amp;" ISIN","CHG_PCT_5D")/100,"")</f>
        <v>-3.2705296836118052E-2</v>
      </c>
      <c r="X16" s="9" cm="1">
        <f t="array" ref="X16">_xll.BDP($G16&amp;" ISIN","CHG_PCT_1M")/100</f>
        <v>-3.1726438698915699E-2</v>
      </c>
      <c r="Y16" s="9" cm="1">
        <f t="array" ref="Y16">_xll.BDP($G16&amp;" ISIN","CHG_PCT_3M")/100</f>
        <v>2.1552179269079642E-2</v>
      </c>
      <c r="Z16" s="9" cm="1">
        <f t="array" ref="Z16">_xll.BDP($G16&amp;" ISIN","CHG_PCT_6M")/100</f>
        <v>-4.8913162206444503E-2</v>
      </c>
      <c r="AA16" s="9" cm="1">
        <f t="array" ref="AA16">_xll.BDP($G16&amp;" ISIN","CHG_PCT_YTD")/100</f>
        <v>1.7717849007109732E-3</v>
      </c>
      <c r="AB16" s="9" t="e">
        <f t="shared" si="2"/>
        <v>#DIV/0!</v>
      </c>
      <c r="AC16" s="12">
        <f t="shared" ca="1" si="3"/>
        <v>51650.749999999985</v>
      </c>
      <c r="AD16" s="11" t="str">
        <f>_xll.BDP(AI16,"DS199")</f>
        <v>Financial</v>
      </c>
      <c r="AE16" s="13">
        <f>_xll.BDP(AI16,"px_ask")</f>
        <v>87.451999999999998</v>
      </c>
      <c r="AF16" s="12">
        <f>IF(F16="USD",O16,(((_xll.BDP(F16&amp;"USD CURNCY","PX_LAST")))*O16))</f>
        <v>600000</v>
      </c>
      <c r="AG16" s="7">
        <f t="shared" si="4"/>
        <v>531120</v>
      </c>
      <c r="AH16" s="7">
        <f t="shared" si="5"/>
        <v>520151.99999999994</v>
      </c>
      <c r="AI16" s="11" t="str">
        <f t="shared" si="6"/>
        <v>XS2755904872 ISIN</v>
      </c>
      <c r="AJ16" s="11" t="e" cm="1">
        <f t="array" ref="AJ16">VLOOKUP(IF(NOT(_xll.BDP($G16&amp;" CORP",#REF!)="#N/A N/A"),(_xll.BDP($G16&amp;" CORP",#REF!)),"-"), '[1]Country Codes'!$A$2:$B$253,2,0)</f>
        <v>#REF!</v>
      </c>
      <c r="AK16" s="11" t="str" cm="1">
        <f t="array" ref="AK16">IF(OR(_xll.BDP($AI16,"EX028")= "#N/A N/A", _xll.BDP($AI16,"EX028")="#N/A FIELD NOT APPLICABLE"), " ", _xll.BDP($AI16,"EX028"))</f>
        <v>FixedIncome</v>
      </c>
      <c r="AL16" s="5" t="str">
        <f>(IF(_xll.BDP($AI16&amp;" ISIN","DZ282")="Y","Single line Bonds Cocos","Single line Bonds ex Cocos"))</f>
        <v>Single line Bonds ex Cocos</v>
      </c>
      <c r="AM16" s="6">
        <f>(IF(_xll.BDP($G16&amp;" ISIN","SP153")="#n/a n/a"," ",_xll.BDP($G16&amp;" ISIN","SP153")))</f>
        <v>256.7955417889911</v>
      </c>
      <c r="AN16" s="14">
        <f t="shared" ca="1" si="7"/>
        <v>45755</v>
      </c>
      <c r="AO16" s="7">
        <f>(((_xll.BDP(AI16,"DS032"))/365)*I16)*O16</f>
        <v>6273.2876712328771</v>
      </c>
      <c r="AP16" s="7">
        <f>IF(F16="USD",AO16,(((_xll.BDP(F16&amp;"USD CURNCY","PX_LAST")))*AO16))</f>
        <v>6273.2876712328771</v>
      </c>
      <c r="AQ16" s="9" t="e">
        <f>S16/$S$180</f>
        <v>#DIV/0!</v>
      </c>
      <c r="AR16" s="7">
        <f t="shared" si="8"/>
        <v>520151.99999999994</v>
      </c>
      <c r="AS16" s="13">
        <f>IF((TEXT(_xll.BDP(AI16,"MATURITY"),"DD/MM/YYYY")="#N/A Field Not Applicable"),"Perp",_xll.BDP(AI16,"DS252"))</f>
        <v>28.810403832991103</v>
      </c>
      <c r="AT16" s="5" t="str">
        <f>(IF(_xll.BDP($AI16&amp;" ISIN","DT247")="Y","Yes","No"))</f>
        <v>No</v>
      </c>
      <c r="AU16" s="5" t="str">
        <f>PROPER(IF(OR(_xll.BDP($AI16,"CPN_TYP")="#n/a N/A",_xll.BDP($AI16,"CPN_TYP")= "#N/A FIELD NOT APPLICABLE"), " ", _xll.BDP($AI16,"CPN_TYP")))</f>
        <v>Fixed</v>
      </c>
      <c r="BG16" s="27" t="str">
        <f t="shared" si="9"/>
        <v>XS2755904872</v>
      </c>
      <c r="BH16" s="36">
        <v>45056</v>
      </c>
    </row>
    <row r="17" spans="1:60 16381:16381" s="15" customFormat="1" ht="14.45" customHeight="1" x14ac:dyDescent="0.25">
      <c r="A17" s="16" t="s">
        <v>138</v>
      </c>
      <c r="B17" s="16" t="s">
        <v>113</v>
      </c>
      <c r="C17" s="16" t="s">
        <v>114</v>
      </c>
      <c r="D17" s="16" t="s">
        <v>100</v>
      </c>
      <c r="E17" s="11" t="str">
        <f>_xll.BDP(AI17,"ds520")</f>
        <v>Gaci First Investment Co</v>
      </c>
      <c r="F17" s="11" t="str">
        <f>_xll.BDP(AI17,"crncy")</f>
        <v>USD</v>
      </c>
      <c r="G17" s="34" t="s">
        <v>54</v>
      </c>
      <c r="H17" s="11" t="str">
        <f>IF(_xll.BDP(AI17,"RTG_MOODY")="#N/A N/A","N/A",_xll.BDP(AI17,"RTG_MOODY"))&amp;","&amp;IF(_xll.BDP(AI17,"RTG_FITCH")="#N/A N/A","N/A",_xll.BDP(AI17,"RTG_FITCH"))&amp;","&amp;IF(_xll.BDP(AI17,"RTG_SP")="#N/A N/A","N/A",_xll.BDP(AI17,"RTG_SP"))</f>
        <v>Aa3,A+,N/A</v>
      </c>
      <c r="I17" s="5">
        <f>_xll.BDP(AI17,"cpn")/100</f>
        <v>5.3749999999999999E-2</v>
      </c>
      <c r="J17" s="5">
        <f ca="1">_xll.BDP($G17&amp;" isin","YAS_BOND_YLD", "YAS_YLD_FLAG=15", "user_local_trade_date",AN17,"Yas_bond_px",$Q17)/100</f>
        <v>6.3907499999999992E-2</v>
      </c>
      <c r="K17" s="11" t="str">
        <f>_xll.BDP(AI17,"PAYMENT_RANK")</f>
        <v>Sr Unsecured</v>
      </c>
      <c r="L17" s="11" t="str">
        <f>IF((TEXT(_xll.BDP(AI17,"MATURITY"),"DD/MM/YYYY")="#N/A Field Not Applicable"),"Perp",TEXT(_xll.BDP(AI17,"MATURITY"),"DD/MM/YYYY"))</f>
        <v>29/01/2054</v>
      </c>
      <c r="M17" s="6">
        <f>(IF(_xll.BDP($AI17&amp;" ISIN","DU003")="#n/a n/a"," ",_xll.BDP($AI17&amp;" ISIN","DU003")))</f>
        <v>13.833992762838573</v>
      </c>
      <c r="N17" s="11" t="str">
        <f>IF(_xll.BDP(AI17,"CALLABLE")="Y",_xll.BDP(AI17,"NXT_CALL_DT")," ")</f>
        <v>29/07/2053</v>
      </c>
      <c r="O17" s="35">
        <v>200000</v>
      </c>
      <c r="P17" s="34">
        <v>88</v>
      </c>
      <c r="Q17" s="13">
        <f>_xll.BDP(AI17,"px_bid")</f>
        <v>86.691999999999993</v>
      </c>
      <c r="R17" s="7">
        <f>IF(F17="USD",AG17,(((_xll.BDP(F17&amp;"USD CURNCY","PX_LAST")))*AG17))</f>
        <v>176000</v>
      </c>
      <c r="S17" s="7">
        <f>IF(F17="USD",AH17,(((_xll.BDP(F17&amp;"USD CURNCY","PX_LAST")))*AH17))+AP17</f>
        <v>175504.13888888888</v>
      </c>
      <c r="T17" s="8">
        <f t="shared" si="0"/>
        <v>-2616.0000000000136</v>
      </c>
      <c r="U17" s="9">
        <f t="shared" si="1"/>
        <v>-1.4863636363636442E-2</v>
      </c>
      <c r="V17" s="9" cm="1">
        <f t="array" ref="V17">IFERROR(_xll.BDP($G17&amp;" ISIN","CHG_PCT_1D")/100,"")</f>
        <v>-2.7628258101981149E-2</v>
      </c>
      <c r="W17" s="9" cm="1">
        <f t="array" ref="W17">IFERROR(_xll.BDP($G17&amp;" ISIN","CHG_PCT_5D")/100,"")</f>
        <v>-3.2705296836118052E-2</v>
      </c>
      <c r="X17" s="9" cm="1">
        <f t="array" ref="X17">_xll.BDP($G17&amp;" ISIN","CHG_PCT_1M")/100</f>
        <v>-3.1726438698915699E-2</v>
      </c>
      <c r="Y17" s="9" cm="1">
        <f t="array" ref="Y17">_xll.BDP($G17&amp;" ISIN","CHG_PCT_3M")/100</f>
        <v>2.1552179269079642E-2</v>
      </c>
      <c r="Z17" s="9" cm="1">
        <f t="array" ref="Z17">_xll.BDP($G17&amp;" ISIN","CHG_PCT_6M")/100</f>
        <v>-4.8913162206444503E-2</v>
      </c>
      <c r="AA17" s="9" cm="1">
        <f t="array" ref="AA17">_xll.BDP($G17&amp;" ISIN","CHG_PCT_YTD")/100</f>
        <v>1.7717849007109732E-3</v>
      </c>
      <c r="AB17" s="9" t="e">
        <f t="shared" si="2"/>
        <v>#DIV/0!</v>
      </c>
      <c r="AC17" s="12">
        <f t="shared" ca="1" si="3"/>
        <v>8402.7499999999854</v>
      </c>
      <c r="AD17" s="11" t="str">
        <f>_xll.BDP(AI17,"DS199")</f>
        <v>Financial</v>
      </c>
      <c r="AE17" s="13">
        <f>_xll.BDP(AI17,"px_ask")</f>
        <v>87.451999999999998</v>
      </c>
      <c r="AF17" s="12">
        <f>IF(F17="USD",O17,(((_xll.BDP(F17&amp;"USD CURNCY","PX_LAST")))*O17))</f>
        <v>200000</v>
      </c>
      <c r="AG17" s="7">
        <f t="shared" si="4"/>
        <v>176000</v>
      </c>
      <c r="AH17" s="7">
        <f t="shared" si="5"/>
        <v>173384</v>
      </c>
      <c r="AI17" s="11" t="str">
        <f t="shared" si="6"/>
        <v>XS2755904872 ISIN</v>
      </c>
      <c r="AJ17" s="11" t="e" cm="1">
        <f t="array" ref="AJ17">VLOOKUP(IF(NOT(_xll.BDP($G17&amp;" CORP",#REF!)="#N/A N/A"),(_xll.BDP($G17&amp;" CORP",#REF!)),"-"), '[1]Country Codes'!$A$2:$B$253,2,0)</f>
        <v>#REF!</v>
      </c>
      <c r="AK17" s="11" t="str" cm="1">
        <f t="array" ref="AK17">IF(OR(_xll.BDP($AI17,"EX028")= "#N/A N/A", _xll.BDP($AI17,"EX028")="#N/A FIELD NOT APPLICABLE"), " ", _xll.BDP($AI17,"EX028"))</f>
        <v>FixedIncome</v>
      </c>
      <c r="AL17" s="5" t="str">
        <f>(IF(_xll.BDP($AI17&amp;" ISIN","DZ282")="Y","Single line Bonds Cocos","Single line Bonds ex Cocos"))</f>
        <v>Single line Bonds ex Cocos</v>
      </c>
      <c r="AM17" s="6">
        <f>(IF(_xll.BDP($G17&amp;" ISIN","SP153")="#n/a n/a"," ",_xll.BDP($G17&amp;" ISIN","SP153")))</f>
        <v>256.7955417889911</v>
      </c>
      <c r="AN17" s="14">
        <f t="shared" ca="1" si="7"/>
        <v>45755</v>
      </c>
      <c r="AO17" s="7">
        <f>(((_xll.BDP(AI17,"DS032"))/360)*I17)*O17</f>
        <v>2120.1388888888887</v>
      </c>
      <c r="AP17" s="7">
        <f>IF(F17="USD",AO17,(((_xll.BDP(F17&amp;"USD CURNCY","PX_LAST")))*AO17))</f>
        <v>2120.1388888888887</v>
      </c>
      <c r="AQ17" s="9" t="e">
        <f>S17/$S$181</f>
        <v>#DIV/0!</v>
      </c>
      <c r="AR17" s="7">
        <f t="shared" si="8"/>
        <v>173384</v>
      </c>
      <c r="AS17" s="13">
        <f>IF((TEXT(_xll.BDP(AI17,"MATURITY"),"DD/MM/YYYY")="#N/A Field Not Applicable"),"Perp",_xll.BDP(AI17,"DS252"))</f>
        <v>28.810403832991103</v>
      </c>
      <c r="AT17" s="5" t="str">
        <f>(IF(_xll.BDP($AI17&amp;" ISIN","DT247")="Y","Yes","No"))</f>
        <v>No</v>
      </c>
      <c r="AU17" s="5" t="str">
        <f>PROPER(IF(OR(_xll.BDP($AI17,"CPN_TYP")="#n/a N/A",_xll.BDP($AI17,"CPN_TYP")= "#N/A FIELD NOT APPLICABLE"), " ", _xll.BDP($AI17,"CPN_TYP")))</f>
        <v>Fixed</v>
      </c>
      <c r="BG17" s="27" t="str">
        <f t="shared" si="9"/>
        <v>XS2755904872</v>
      </c>
      <c r="BH17" s="36">
        <v>45386</v>
      </c>
    </row>
    <row r="18" spans="1:60 16381:16381" s="15" customFormat="1" ht="14.45" customHeight="1" x14ac:dyDescent="0.25">
      <c r="A18" s="16" t="s">
        <v>139</v>
      </c>
      <c r="B18" s="16" t="s">
        <v>111</v>
      </c>
      <c r="C18" s="16">
        <v>4392010</v>
      </c>
      <c r="D18" s="16" t="s">
        <v>104</v>
      </c>
      <c r="E18" s="11" t="str">
        <f>_xll.BDP(AI18,"ds520")</f>
        <v>Greensaif Pipelines Bidco Sarl</v>
      </c>
      <c r="F18" s="11" t="str">
        <f>_xll.BDP(AI18,"crncy")</f>
        <v>USD</v>
      </c>
      <c r="G18" s="34" t="s">
        <v>59</v>
      </c>
      <c r="H18" s="11" t="str">
        <f>IF(_xll.BDP(AI18,"RTG_MOODY")="#N/A N/A","N/A",_xll.BDP(AI18,"RTG_MOODY"))&amp;","&amp;IF(_xll.BDP(AI18,"RTG_FITCH")="#N/A N/A","N/A",_xll.BDP(AI18,"RTG_FITCH"))&amp;","&amp;IF(_xll.BDP(AI18,"RTG_SP")="#N/A N/A","N/A",_xll.BDP(AI18,"RTG_SP"))</f>
        <v>Aa3,A+,N/A</v>
      </c>
      <c r="I18" s="5">
        <f>_xll.BDP(AI18,"cpn")/100</f>
        <v>6.5099999999999991E-2</v>
      </c>
      <c r="J18" s="5">
        <f ca="1">_xll.BDP($G18&amp;" isin","YAS_BOND_YLD", "YAS_YLD_FLAG=15", "user_local_trade_date",AN18,"Yas_bond_px",$Q18)/100</f>
        <v>6.3130169999999999E-2</v>
      </c>
      <c r="K18" s="11" t="str">
        <f>_xll.BDP(AI18,"PAYMENT_RANK")</f>
        <v>Secured</v>
      </c>
      <c r="L18" s="11" t="str">
        <f>IF((TEXT(_xll.BDP(AI18,"MATURITY"),"DD/MM/YYYY")="#N/A Field Not Applicable"),"Perp",TEXT(_xll.BDP(AI18,"MATURITY"),"DD/MM/YYYY"))</f>
        <v>23/02/2042</v>
      </c>
      <c r="M18" s="6">
        <f>(IF(_xll.BDP($AI18&amp;" ISIN","DU003")="#n/a n/a"," ",_xll.BDP($AI18&amp;" ISIN","DU003")))</f>
        <v>10.02467654063684</v>
      </c>
      <c r="N18" s="11" t="str">
        <f>IF(_xll.BDP(AI18,"CALLABLE")="Y",_xll.BDP(AI18,"NXT_CALL_DT")," ")</f>
        <v xml:space="preserve"> </v>
      </c>
      <c r="O18" s="35">
        <v>400000</v>
      </c>
      <c r="P18" s="34">
        <v>104.988</v>
      </c>
      <c r="Q18" s="13">
        <f>_xll.BDP(AI18,"px_bid")</f>
        <v>102.017</v>
      </c>
      <c r="R18" s="7">
        <f>IF(F18="USD",AG18,(((_xll.BDP(F18&amp;"USD CURNCY","PX_LAST")))*AG18))</f>
        <v>419952</v>
      </c>
      <c r="S18" s="7">
        <f>IF(F18="USD",AH18,(((_xll.BDP(F18&amp;"USD CURNCY","PX_LAST")))*AH18))+AP18</f>
        <v>411421.09589041094</v>
      </c>
      <c r="T18" s="8">
        <f t="shared" si="0"/>
        <v>-11884.000000000015</v>
      </c>
      <c r="U18" s="9">
        <f t="shared" si="1"/>
        <v>-2.8298472206347427E-2</v>
      </c>
      <c r="V18" s="9" cm="1">
        <f t="array" ref="V18">IFERROR(_xll.BDP($G18&amp;" ISIN","CHG_PCT_1D")/100,"")</f>
        <v>-1.078303119091559E-3</v>
      </c>
      <c r="W18" s="9" cm="1">
        <f t="array" ref="W18">IFERROR(_xll.BDP($G18&amp;" ISIN","CHG_PCT_5D")/100,"")</f>
        <v>-2.0608642087318586E-2</v>
      </c>
      <c r="X18" s="9" cm="1">
        <f t="array" ref="X18">_xll.BDP($G18&amp;" ISIN","CHG_PCT_1M")/100</f>
        <v>-1.5721489683132233E-2</v>
      </c>
      <c r="Y18" s="9" cm="1">
        <f t="array" ref="Y18">_xll.BDP($G18&amp;" ISIN","CHG_PCT_3M")/100</f>
        <v>2.4339277562855925E-2</v>
      </c>
      <c r="Z18" s="9" cm="1">
        <f t="array" ref="Z18">_xll.BDP($G18&amp;" ISIN","CHG_PCT_6M")/100</f>
        <v>-3.2203693742155197E-2</v>
      </c>
      <c r="AA18" s="9" cm="1">
        <f t="array" ref="AA18">_xll.BDP($G18&amp;" ISIN","CHG_PCT_YTD")/100</f>
        <v>1.1804148224740534E-2</v>
      </c>
      <c r="AB18" s="9" t="e">
        <f t="shared" si="2"/>
        <v>#DIV/0!</v>
      </c>
      <c r="AC18" s="12">
        <f t="shared" ca="1" si="3"/>
        <v>-9424.6666666666824</v>
      </c>
      <c r="AD18" s="11" t="str">
        <f>_xll.BDP(AI18,"DS199")</f>
        <v>Energy</v>
      </c>
      <c r="AE18" s="13">
        <f>_xll.BDP(AI18,"px_ask")</f>
        <v>103.09</v>
      </c>
      <c r="AF18" s="12">
        <f>IF(F18="USD",O18,(((_xll.BDP(F18&amp;"USD CURNCY","PX_LAST")))*O18))</f>
        <v>400000</v>
      </c>
      <c r="AG18" s="7">
        <f t="shared" si="4"/>
        <v>419952</v>
      </c>
      <c r="AH18" s="7">
        <f t="shared" si="5"/>
        <v>408068</v>
      </c>
      <c r="AI18" s="11" t="str">
        <f t="shared" si="6"/>
        <v>XS2542166744 ISIN</v>
      </c>
      <c r="AJ18" s="11" t="e" cm="1">
        <f t="array" ref="AJ18">VLOOKUP(IF(NOT(_xll.BDP($G18&amp;" CORP",#REF!)="#N/A N/A"),(_xll.BDP($G18&amp;" CORP",#REF!)),"-"), '[1]Country Codes'!$A$2:$B$253,2,0)</f>
        <v>#REF!</v>
      </c>
      <c r="AK18" s="11" t="str" cm="1">
        <f t="array" ref="AK18">IF(OR(_xll.BDP($AI18,"EX028")= "#N/A N/A", _xll.BDP($AI18,"EX028")="#N/A FIELD NOT APPLICABLE"), " ", _xll.BDP($AI18,"EX028"))</f>
        <v>FixedIncome</v>
      </c>
      <c r="AL18" s="5" t="str">
        <f>(IF(_xll.BDP($AI18&amp;" ISIN","DZ282")="Y","Single line Bonds Cocos","Single line Bonds ex Cocos"))</f>
        <v>Single line Bonds ex Cocos</v>
      </c>
      <c r="AM18" s="6">
        <f>(IF(_xll.BDP($G18&amp;" ISIN","SP153")="#n/a n/a"," ",_xll.BDP($G18&amp;" ISIN","SP153")))</f>
        <v>242.97888107133605</v>
      </c>
      <c r="AN18" s="14">
        <f t="shared" ca="1" si="7"/>
        <v>45755</v>
      </c>
      <c r="AO18" s="7">
        <f>(((_xll.BDP(AI18,"DS032"))/365)*I18)*O18</f>
        <v>3353.0958904109584</v>
      </c>
      <c r="AP18" s="7">
        <f>IF(F18="USD",AO18,(((_xll.BDP(F18&amp;"USD CURNCY","PX_LAST")))*AO18))</f>
        <v>3353.0958904109584</v>
      </c>
      <c r="AQ18" s="9" t="e">
        <f>S18/$S$180</f>
        <v>#DIV/0!</v>
      </c>
      <c r="AR18" s="7">
        <f t="shared" si="8"/>
        <v>408068</v>
      </c>
      <c r="AS18" s="13">
        <f>IF((TEXT(_xll.BDP(AI18,"MATURITY"),"DD/MM/YYYY")="#N/A Field Not Applicable"),"Perp",_xll.BDP(AI18,"DS252"))</f>
        <v>16.878850102669404</v>
      </c>
      <c r="AT18" s="5" t="str">
        <f>(IF(_xll.BDP($AI18&amp;" ISIN","DT247")="Y","Yes","No"))</f>
        <v>No</v>
      </c>
      <c r="AU18" s="5" t="str">
        <f>PROPER(IF(OR(_xll.BDP($AI18,"CPN_TYP")="#n/a N/A",_xll.BDP($AI18,"CPN_TYP")= "#N/A FIELD NOT APPLICABLE"), " ", _xll.BDP($AI18,"CPN_TYP")))</f>
        <v>Fixed</v>
      </c>
      <c r="BG18" s="27" t="str">
        <f t="shared" si="9"/>
        <v>XS2542166744</v>
      </c>
      <c r="BH18" s="36">
        <v>45721</v>
      </c>
    </row>
    <row r="19" spans="1:60 16381:16381" s="15" customFormat="1" ht="14.45" customHeight="1" x14ac:dyDescent="0.25">
      <c r="A19" s="16" t="s">
        <v>139</v>
      </c>
      <c r="B19" s="16" t="s">
        <v>111</v>
      </c>
      <c r="C19" s="16">
        <v>4392010</v>
      </c>
      <c r="D19" s="16" t="s">
        <v>104</v>
      </c>
      <c r="E19" s="11" t="str">
        <f>_xll.BDP(AI19,"ds520")</f>
        <v>Greensaif Pipelines Bidco Sarl</v>
      </c>
      <c r="F19" s="11" t="str">
        <f>_xll.BDP(AI19,"crncy")</f>
        <v>USD</v>
      </c>
      <c r="G19" s="34" t="s">
        <v>59</v>
      </c>
      <c r="H19" s="11" t="str">
        <f>IF(_xll.BDP(AI19,"RTG_MOODY")="#N/A N/A","N/A",_xll.BDP(AI19,"RTG_MOODY"))&amp;","&amp;IF(_xll.BDP(AI19,"RTG_FITCH")="#N/A N/A","N/A",_xll.BDP(AI19,"RTG_FITCH"))&amp;","&amp;IF(_xll.BDP(AI19,"RTG_SP")="#N/A N/A","N/A",_xll.BDP(AI19,"RTG_SP"))</f>
        <v>Aa3,A+,N/A</v>
      </c>
      <c r="I19" s="5">
        <f>_xll.BDP(AI19,"cpn")/100</f>
        <v>6.5099999999999991E-2</v>
      </c>
      <c r="J19" s="5">
        <f ca="1">_xll.BDP($G19&amp;" isin","YAS_BOND_YLD", "YAS_YLD_FLAG=15", "user_local_trade_date",AN19,"Yas_bond_px",$Q19)/100</f>
        <v>6.3130169999999999E-2</v>
      </c>
      <c r="K19" s="11" t="str">
        <f>_xll.BDP(AI19,"PAYMENT_RANK")</f>
        <v>Secured</v>
      </c>
      <c r="L19" s="11" t="str">
        <f>IF((TEXT(_xll.BDP(AI19,"MATURITY"),"DD/MM/YYYY")="#N/A Field Not Applicable"),"Perp",TEXT(_xll.BDP(AI19,"MATURITY"),"DD/MM/YYYY"))</f>
        <v>23/02/2042</v>
      </c>
      <c r="M19" s="6">
        <f>(IF(_xll.BDP($AI19&amp;" ISIN","DU003")="#n/a n/a"," ",_xll.BDP($AI19&amp;" ISIN","DU003")))</f>
        <v>10.02467654063684</v>
      </c>
      <c r="N19" s="11" t="str">
        <f>IF(_xll.BDP(AI19,"CALLABLE")="Y",_xll.BDP(AI19,"NXT_CALL_DT")," ")</f>
        <v xml:space="preserve"> </v>
      </c>
      <c r="O19" s="35">
        <v>600000</v>
      </c>
      <c r="P19" s="34">
        <v>104.72499999999999</v>
      </c>
      <c r="Q19" s="13">
        <f>_xll.BDP(AI19,"px_bid")</f>
        <v>102.017</v>
      </c>
      <c r="R19" s="7">
        <f>IF(F19="USD",AG19,(((_xll.BDP(F19&amp;"USD CURNCY","PX_LAST")))*AG19))</f>
        <v>628350</v>
      </c>
      <c r="S19" s="7">
        <f>IF(F19="USD",AH19,(((_xll.BDP(F19&amp;"USD CURNCY","PX_LAST")))*AH19))+AP19</f>
        <v>617131.64383561641</v>
      </c>
      <c r="T19" s="8">
        <f t="shared" si="0"/>
        <v>-16247.999999999991</v>
      </c>
      <c r="U19" s="9">
        <f t="shared" si="1"/>
        <v>-2.5858200047744077E-2</v>
      </c>
      <c r="V19" s="9" cm="1">
        <f t="array" ref="V19">IFERROR(_xll.BDP($G19&amp;" ISIN","CHG_PCT_1D")/100,"")</f>
        <v>-1.078303119091559E-3</v>
      </c>
      <c r="W19" s="9" cm="1">
        <f t="array" ref="W19">IFERROR(_xll.BDP($G19&amp;" ISIN","CHG_PCT_5D")/100,"")</f>
        <v>-2.0608642087318586E-2</v>
      </c>
      <c r="X19" s="9" cm="1">
        <f t="array" ref="X19">_xll.BDP($G19&amp;" ISIN","CHG_PCT_1M")/100</f>
        <v>-1.5721489683132233E-2</v>
      </c>
      <c r="Y19" s="9" cm="1">
        <f t="array" ref="Y19">_xll.BDP($G19&amp;" ISIN","CHG_PCT_3M")/100</f>
        <v>2.4339277562855925E-2</v>
      </c>
      <c r="Z19" s="9" cm="1">
        <f t="array" ref="Z19">_xll.BDP($G19&amp;" ISIN","CHG_PCT_6M")/100</f>
        <v>-3.2203693742155197E-2</v>
      </c>
      <c r="AA19" s="9" cm="1">
        <f t="array" ref="AA19">_xll.BDP($G19&amp;" ISIN","CHG_PCT_YTD")/100</f>
        <v>1.1804148224740534E-2</v>
      </c>
      <c r="AB19" s="9" t="e">
        <f t="shared" si="2"/>
        <v>#DIV/0!</v>
      </c>
      <c r="AC19" s="12">
        <f t="shared" ca="1" si="3"/>
        <v>-2902.4999999999909</v>
      </c>
      <c r="AD19" s="11" t="str">
        <f>_xll.BDP(AI19,"DS199")</f>
        <v>Energy</v>
      </c>
      <c r="AE19" s="13">
        <f>_xll.BDP(AI19,"px_ask")</f>
        <v>103.09</v>
      </c>
      <c r="AF19" s="12">
        <f>IF(F19="USD",O19,(((_xll.BDP(F19&amp;"USD CURNCY","PX_LAST")))*O19))</f>
        <v>600000</v>
      </c>
      <c r="AG19" s="7">
        <f t="shared" si="4"/>
        <v>628350</v>
      </c>
      <c r="AH19" s="7">
        <f t="shared" si="5"/>
        <v>612102</v>
      </c>
      <c r="AI19" s="11" t="str">
        <f t="shared" si="6"/>
        <v>XS2542166744 ISIN</v>
      </c>
      <c r="AJ19" s="11" t="e" cm="1">
        <f t="array" ref="AJ19">VLOOKUP(IF(NOT(_xll.BDP($G19&amp;" CORP",#REF!)="#N/A N/A"),(_xll.BDP($G19&amp;" CORP",#REF!)),"-"), '[1]Country Codes'!$A$2:$B$253,2,0)</f>
        <v>#REF!</v>
      </c>
      <c r="AK19" s="11" t="str" cm="1">
        <f t="array" ref="AK19">IF(OR(_xll.BDP($AI19,"EX028")= "#N/A N/A", _xll.BDP($AI19,"EX028")="#N/A FIELD NOT APPLICABLE"), " ", _xll.BDP($AI19,"EX028"))</f>
        <v>FixedIncome</v>
      </c>
      <c r="AL19" s="5" t="str">
        <f>(IF(_xll.BDP($AI19&amp;" ISIN","DZ282")="Y","Single line Bonds Cocos","Single line Bonds ex Cocos"))</f>
        <v>Single line Bonds ex Cocos</v>
      </c>
      <c r="AM19" s="6">
        <f>(IF(_xll.BDP($G19&amp;" ISIN","SP153")="#n/a n/a"," ",_xll.BDP($G19&amp;" ISIN","SP153")))</f>
        <v>242.97888107133605</v>
      </c>
      <c r="AN19" s="14">
        <f t="shared" ca="1" si="7"/>
        <v>45755</v>
      </c>
      <c r="AO19" s="7">
        <f>(((_xll.BDP(AI19,"DS032"))/365)*I19)*O19</f>
        <v>5029.6438356164381</v>
      </c>
      <c r="AP19" s="7">
        <f>IF(F19="USD",AO19,(((_xll.BDP(F19&amp;"USD CURNCY","PX_LAST")))*AO19))</f>
        <v>5029.6438356164381</v>
      </c>
      <c r="AQ19" s="9" t="e">
        <f>S19/$S$180</f>
        <v>#DIV/0!</v>
      </c>
      <c r="AR19" s="7">
        <f t="shared" si="8"/>
        <v>612102</v>
      </c>
      <c r="AS19" s="13">
        <f>IF((TEXT(_xll.BDP(AI19,"MATURITY"),"DD/MM/YYYY")="#N/A Field Not Applicable"),"Perp",_xll.BDP(AI19,"DS252"))</f>
        <v>16.878850102669404</v>
      </c>
      <c r="AT19" s="5" t="str">
        <f>(IF(_xll.BDP($AI19&amp;" ISIN","DT247")="Y","Yes","No"))</f>
        <v>No</v>
      </c>
      <c r="AU19" s="5" t="str">
        <f>PROPER(IF(OR(_xll.BDP($AI19,"CPN_TYP")="#n/a N/A",_xll.BDP($AI19,"CPN_TYP")= "#N/A FIELD NOT APPLICABLE"), " ", _xll.BDP($AI19,"CPN_TYP")))</f>
        <v>Fixed</v>
      </c>
      <c r="BG19" s="27" t="str">
        <f t="shared" si="9"/>
        <v>XS2542166744</v>
      </c>
      <c r="BH19" s="36">
        <v>45632</v>
      </c>
    </row>
    <row r="20" spans="1:60 16381:16381" s="15" customFormat="1" ht="14.45" customHeight="1" x14ac:dyDescent="0.25">
      <c r="A20" s="16" t="s">
        <v>139</v>
      </c>
      <c r="B20" s="16" t="s">
        <v>105</v>
      </c>
      <c r="C20" s="16">
        <v>936730</v>
      </c>
      <c r="D20" s="16" t="s">
        <v>106</v>
      </c>
      <c r="E20" s="11" t="str">
        <f>_xll.BDP(AI20,"ds520")</f>
        <v>KazMunayGas National Co JSC</v>
      </c>
      <c r="F20" s="11" t="str">
        <f>_xll.BDP(AI20,"crncy")</f>
        <v>USD</v>
      </c>
      <c r="G20" s="34" t="s">
        <v>109</v>
      </c>
      <c r="H20" s="11" t="str">
        <f>IF(_xll.BDP(AI20,"RTG_MOODY")="#N/A N/A","N/A",_xll.BDP(AI20,"RTG_MOODY"))&amp;","&amp;IF(_xll.BDP(AI20,"RTG_FITCH")="#N/A N/A","N/A",_xll.BDP(AI20,"RTG_FITCH"))&amp;","&amp;IF(_xll.BDP(AI20,"RTG_SP")="#N/A N/A","N/A",_xll.BDP(AI20,"RTG_SP"))</f>
        <v>Baa1,BBB,N/A</v>
      </c>
      <c r="I20" s="5">
        <f>_xll.BDP(AI20,"cpn")/100</f>
        <v>6.3750000000000001E-2</v>
      </c>
      <c r="J20" s="5">
        <f ca="1">_xll.BDP($G20&amp;" isin","YAS_BOND_YLD", "YAS_YLD_FLAG=15", "user_local_trade_date",AN20,"Yas_bond_px",$Q20)/100</f>
        <v>6.9987300000000002E-2</v>
      </c>
      <c r="K20" s="11" t="str">
        <f>_xll.BDP(AI20,"PAYMENT_RANK")</f>
        <v>Sr Unsecured</v>
      </c>
      <c r="L20" s="11" t="str">
        <f>IF((TEXT(_xll.BDP(AI20,"MATURITY"),"DD/MM/YYYY")="#N/A Field Not Applicable"),"Perp",TEXT(_xll.BDP(AI20,"MATURITY"),"DD/MM/YYYY"))</f>
        <v>24/10/2048</v>
      </c>
      <c r="M20" s="6">
        <f>(IF(_xll.BDP($AI20&amp;" ISIN","DU003")="#n/a n/a"," ",_xll.BDP($AI20&amp;" ISIN","DU003")))</f>
        <v>11.753070148994972</v>
      </c>
      <c r="N20" s="11" t="str">
        <f>IF(_xll.BDP(AI20,"CALLABLE")="Y",_xll.BDP(AI20,"NXT_CALL_DT")," ")</f>
        <v xml:space="preserve"> </v>
      </c>
      <c r="O20" s="35">
        <v>500000</v>
      </c>
      <c r="P20" s="34">
        <v>96.07</v>
      </c>
      <c r="Q20" s="13">
        <f>_xll.BDP(AI20,"px_bid")</f>
        <v>92.849000000000004</v>
      </c>
      <c r="R20" s="7">
        <f>IF(F20="USD",AG20,(((_xll.BDP(F20&amp;"USD CURNCY","PX_LAST")))*AG20))</f>
        <v>480350</v>
      </c>
      <c r="S20" s="7">
        <f>IF(F20="USD",AH20,(((_xll.BDP(F20&amp;"USD CURNCY","PX_LAST")))*AH20))+AP20</f>
        <v>478854.375</v>
      </c>
      <c r="T20" s="8">
        <f t="shared" si="0"/>
        <v>-16104.999999999949</v>
      </c>
      <c r="U20" s="9">
        <f t="shared" si="1"/>
        <v>-3.352763609867794E-2</v>
      </c>
      <c r="V20" s="9" cm="1">
        <f t="array" ref="V20">IFERROR(_xll.BDP($G20&amp;" ISIN","CHG_PCT_1D")/100,"")</f>
        <v>1.2929975101782958E-3</v>
      </c>
      <c r="W20" s="9" cm="1">
        <f t="array" ref="W20">IFERROR(_xll.BDP($G20&amp;" ISIN","CHG_PCT_5D")/100,"")</f>
        <v>-4.1766300015941412E-3</v>
      </c>
      <c r="X20" s="9" cm="1">
        <f t="array" ref="X20">_xll.BDP($G20&amp;" ISIN","CHG_PCT_1M")/100</f>
        <v>-8.024560660597032E-3</v>
      </c>
      <c r="Y20" s="9" cm="1">
        <f t="array" ref="Y20">_xll.BDP($G20&amp;" ISIN","CHG_PCT_3M")/100</f>
        <v>9.5457679710394296E-3</v>
      </c>
      <c r="Z20" s="9" cm="1">
        <f t="array" ref="Z20">_xll.BDP($G20&amp;" ISIN","CHG_PCT_6M")/100</f>
        <v>-3.9928687793932369E-2</v>
      </c>
      <c r="AA20" s="9" cm="1">
        <f t="array" ref="AA20">_xll.BDP($G20&amp;" ISIN","CHG_PCT_YTD")/100</f>
        <v>6.0123252667969584E-3</v>
      </c>
      <c r="AB20" s="9" t="e">
        <f t="shared" si="2"/>
        <v>#DIV/0!</v>
      </c>
      <c r="AC20" s="12">
        <f t="shared" ca="1" si="3"/>
        <v>-1495.6249999999454</v>
      </c>
      <c r="AD20" s="11" t="str">
        <f>_xll.BDP(AI20,"DS199")</f>
        <v>Energy</v>
      </c>
      <c r="AE20" s="13">
        <f>_xll.BDP(AI20,"px_ask")</f>
        <v>94.084000000000003</v>
      </c>
      <c r="AF20" s="12">
        <f>IF(F20="USD",O20,(((_xll.BDP(F20&amp;"USD CURNCY","PX_LAST")))*O20))</f>
        <v>500000</v>
      </c>
      <c r="AG20" s="7">
        <f t="shared" si="4"/>
        <v>480350</v>
      </c>
      <c r="AH20" s="7">
        <f t="shared" si="5"/>
        <v>464245</v>
      </c>
      <c r="AI20" s="11" t="str">
        <f t="shared" si="6"/>
        <v>XS1807299331 ISIN</v>
      </c>
      <c r="AJ20" s="11" t="e" cm="1">
        <f t="array" ref="AJ20">VLOOKUP(IF(NOT(_xll.BDP($G20&amp;" CORP",#REF!)="#N/A N/A"),(_xll.BDP($G20&amp;" CORP",#REF!)),"-"), '[1]Country Codes'!$A$2:$B$253,2,0)</f>
        <v>#REF!</v>
      </c>
      <c r="AK20" s="11" t="str" cm="1">
        <f t="array" ref="AK20">IF(OR(_xll.BDP($AI20,"EX028")= "#N/A N/A", _xll.BDP($AI20,"EX028")="#N/A FIELD NOT APPLICABLE"), " ", _xll.BDP($AI20,"EX028"))</f>
        <v>FixedIncome</v>
      </c>
      <c r="AL20" s="5" t="str">
        <f>(IF(_xll.BDP($AI20&amp;" ISIN","DZ282")="Y","Single line Bonds Cocos","Single line Bonds ex Cocos"))</f>
        <v>Single line Bonds ex Cocos</v>
      </c>
      <c r="AM20" s="6">
        <f>(IF(_xll.BDP($G20&amp;" ISIN","SP153")="#n/a n/a"," ",_xll.BDP($G20&amp;" ISIN","SP153")))</f>
        <v>338.93203018423225</v>
      </c>
      <c r="AN20" s="14">
        <f t="shared" ca="1" si="7"/>
        <v>45755</v>
      </c>
      <c r="AO20" s="7">
        <f>(((_xll.BDP(AI20,"DS032"))/360)*I20)*O20</f>
        <v>14609.375</v>
      </c>
      <c r="AP20" s="7">
        <f>IF(F20="USD",AO20,(((_xll.BDP(F20&amp;"USD CURNCY","PX_LAST")))*AO20))</f>
        <v>14609.375</v>
      </c>
      <c r="AQ20" s="9" t="e">
        <f>S20/$S$181</f>
        <v>#DIV/0!</v>
      </c>
      <c r="AR20" s="7">
        <f t="shared" si="8"/>
        <v>464245</v>
      </c>
      <c r="AS20" s="13">
        <f>IF((TEXT(_xll.BDP(AI20,"MATURITY"),"DD/MM/YYYY")="#N/A Field Not Applicable"),"Perp",_xll.BDP(AI20,"DS252"))</f>
        <v>23.548254620123203</v>
      </c>
      <c r="AT20" s="5" t="str">
        <f>(IF(_xll.BDP($AI20&amp;" ISIN","DT247")="Y","Yes","No"))</f>
        <v>No</v>
      </c>
      <c r="AU20" s="5" t="str">
        <f>PROPER(IF(OR(_xll.BDP($AI20,"CPN_TYP")="#n/a N/A",_xll.BDP($AI20,"CPN_TYP")= "#N/A FIELD NOT APPLICABLE"), " ", _xll.BDP($AI20,"CPN_TYP")))</f>
        <v>Fixed</v>
      </c>
      <c r="BG20" s="27" t="str">
        <f t="shared" si="9"/>
        <v>XS1807299331</v>
      </c>
      <c r="BH20" s="36">
        <v>45590</v>
      </c>
    </row>
    <row r="21" spans="1:60 16381:16381" s="15" customFormat="1" ht="14.45" customHeight="1" x14ac:dyDescent="0.25">
      <c r="A21" s="16" t="s">
        <v>139</v>
      </c>
      <c r="B21" s="16" t="s">
        <v>105</v>
      </c>
      <c r="C21" s="16">
        <v>936730</v>
      </c>
      <c r="D21" s="16" t="s">
        <v>106</v>
      </c>
      <c r="E21" s="11" t="str">
        <f>_xll.BDP(AI21,"ds520")</f>
        <v>Mexico Government International Bond</v>
      </c>
      <c r="F21" s="11" t="str">
        <f>_xll.BDP(AI21,"crncy")</f>
        <v>USD</v>
      </c>
      <c r="G21" s="34" t="s">
        <v>107</v>
      </c>
      <c r="H21" s="11" t="str">
        <f>IF(_xll.BDP(AI21,"RTG_MOODY")="#N/A N/A","N/A",_xll.BDP(AI21,"RTG_MOODY"))&amp;","&amp;IF(_xll.BDP(AI21,"RTG_FITCH")="#N/A N/A","N/A",_xll.BDP(AI21,"RTG_FITCH"))&amp;","&amp;IF(_xll.BDP(AI21,"RTG_SP")="#N/A N/A","N/A",_xll.BDP(AI21,"RTG_SP"))</f>
        <v>Baa2,BBB-,BBB</v>
      </c>
      <c r="I21" s="5">
        <f>_xll.BDP(AI21,"cpn")/100</f>
        <v>6.0499999999999998E-2</v>
      </c>
      <c r="J21" s="5">
        <f ca="1">_xll.BDP($G21&amp;" isin","YAS_BOND_YLD", "YAS_YLD_FLAG=15", "user_local_trade_date",AN21,"Yas_bond_px",$Q21)/100</f>
        <v>6.630337E-2</v>
      </c>
      <c r="K21" s="11" t="str">
        <f>_xll.BDP(AI21,"PAYMENT_RANK")</f>
        <v>Sr Unsecured</v>
      </c>
      <c r="L21" s="11" t="str">
        <f>IF((TEXT(_xll.BDP(AI21,"MATURITY"),"DD/MM/YYYY")="#N/A Field Not Applicable"),"Perp",TEXT(_xll.BDP(AI21,"MATURITY"),"DD/MM/YYYY"))</f>
        <v>11/01/2040</v>
      </c>
      <c r="M21" s="6">
        <f>(IF(_xll.BDP($AI21&amp;" ISIN","DU003")="#n/a n/a"," ",_xll.BDP($AI21&amp;" ISIN","DU003")))</f>
        <v>9.6766367813039711</v>
      </c>
      <c r="N21" s="11" t="str">
        <f>IF(_xll.BDP(AI21,"CALLABLE")="Y",_xll.BDP(AI21,"NXT_CALL_DT")," ")</f>
        <v xml:space="preserve"> </v>
      </c>
      <c r="O21" s="35">
        <v>500000</v>
      </c>
      <c r="P21" s="34">
        <v>98.2</v>
      </c>
      <c r="Q21" s="13">
        <f>_xll.BDP(AI21,"px_bid")</f>
        <v>94.578000000000003</v>
      </c>
      <c r="R21" s="7">
        <f>IF(F21="USD",AG21,(((_xll.BDP(F21&amp;"USD CURNCY","PX_LAST")))*AG21))</f>
        <v>491000</v>
      </c>
      <c r="S21" s="7">
        <f>IF(F21="USD",AH21,(((_xll.BDP(F21&amp;"USD CURNCY","PX_LAST")))*AH21))+AP21</f>
        <v>480200.41666666669</v>
      </c>
      <c r="T21" s="8">
        <f t="shared" si="0"/>
        <v>-18110</v>
      </c>
      <c r="U21" s="9">
        <f t="shared" si="1"/>
        <v>-3.6883910386965375E-2</v>
      </c>
      <c r="V21" s="9" cm="1">
        <f t="array" ref="V21">IFERROR(_xll.BDP($G21&amp;" ISIN","CHG_PCT_1D")/100,"")</f>
        <v>-5.3109888373991075E-3</v>
      </c>
      <c r="W21" s="9" cm="1">
        <f t="array" ref="W21">IFERROR(_xll.BDP($G21&amp;" ISIN","CHG_PCT_5D")/100,"")</f>
        <v>1.3999314920379743E-3</v>
      </c>
      <c r="X21" s="9" cm="1">
        <f t="array" ref="X21">_xll.BDP($G21&amp;" ISIN","CHG_PCT_1M")/100</f>
        <v>-9.0118125517825044E-3</v>
      </c>
      <c r="Y21" s="9" cm="1">
        <f t="array" ref="Y21">_xll.BDP($G21&amp;" ISIN","CHG_PCT_3M")/100</f>
        <v>1.9291686613326232E-2</v>
      </c>
      <c r="Z21" s="9" cm="1">
        <f t="array" ref="Z21">_xll.BDP($G21&amp;" ISIN","CHG_PCT_6M")/100</f>
        <v>-6.5324512218035743E-2</v>
      </c>
      <c r="AA21" s="9" cm="1">
        <f t="array" ref="AA21">_xll.BDP($G21&amp;" ISIN","CHG_PCT_YTD")/100</f>
        <v>1.7220746863405117E-2</v>
      </c>
      <c r="AB21" s="9" t="e">
        <f t="shared" si="2"/>
        <v>#DIV/0!</v>
      </c>
      <c r="AC21" s="12">
        <f t="shared" ca="1" si="3"/>
        <v>-4245.4166666666679</v>
      </c>
      <c r="AD21" s="11" t="str">
        <f>_xll.BDP(AI21,"DS199")</f>
        <v>Government</v>
      </c>
      <c r="AE21" s="13">
        <f>_xll.BDP(AI21,"px_ask")</f>
        <v>95.244</v>
      </c>
      <c r="AF21" s="12">
        <f>IF(F21="USD",O21,(((_xll.BDP(F21&amp;"USD CURNCY","PX_LAST")))*O21))</f>
        <v>500000</v>
      </c>
      <c r="AG21" s="7">
        <f t="shared" si="4"/>
        <v>491000</v>
      </c>
      <c r="AH21" s="7">
        <f t="shared" si="5"/>
        <v>472890</v>
      </c>
      <c r="AI21" s="11" t="str">
        <f t="shared" si="6"/>
        <v>US91086QAV05 ISIN</v>
      </c>
      <c r="AJ21" s="11" t="e" cm="1">
        <f t="array" ref="AJ21">VLOOKUP(IF(NOT(_xll.BDP($G21&amp;" CORP",#REF!)="#N/A N/A"),(_xll.BDP($G21&amp;" CORP",#REF!)),"-"), '[1]Country Codes'!$A$2:$B$253,2,0)</f>
        <v>#REF!</v>
      </c>
      <c r="AK21" s="11" t="str" cm="1">
        <f t="array" ref="AK21">IF(OR(_xll.BDP($AI21,"EX028")= "#N/A N/A", _xll.BDP($AI21,"EX028")="#N/A FIELD NOT APPLICABLE"), " ", _xll.BDP($AI21,"EX028"))</f>
        <v>FixedIncome</v>
      </c>
      <c r="AL21" s="5" t="str">
        <f>(IF(_xll.BDP($AI21&amp;" ISIN","DZ282")="Y","Single line Bonds Cocos","Single line Bonds ex Cocos"))</f>
        <v>Single line Bonds ex Cocos</v>
      </c>
      <c r="AM21" s="6">
        <f>(IF(_xll.BDP($G21&amp;" ISIN","SP153")="#n/a n/a"," ",_xll.BDP($G21&amp;" ISIN","SP153")))</f>
        <v>307.04982909238083</v>
      </c>
      <c r="AN21" s="14">
        <f t="shared" ca="1" si="7"/>
        <v>45755</v>
      </c>
      <c r="AO21" s="7">
        <f>(((_xll.BDP(AI21,"DS032"))/360)*I21)*O21</f>
        <v>7310.4166666666661</v>
      </c>
      <c r="AP21" s="7">
        <f>IF(F21="USD",AO21,(((_xll.BDP(F21&amp;"USD CURNCY","PX_LAST")))*AO21))</f>
        <v>7310.4166666666661</v>
      </c>
      <c r="AQ21" s="9" t="e">
        <f>S21/$S$181</f>
        <v>#DIV/0!</v>
      </c>
      <c r="AR21" s="7">
        <f t="shared" si="8"/>
        <v>472890</v>
      </c>
      <c r="AS21" s="13">
        <f>IF((TEXT(_xll.BDP(AI21,"MATURITY"),"DD/MM/YYYY")="#N/A Field Not Applicable"),"Perp",_xll.BDP(AI21,"DS252"))</f>
        <v>14.762491444216289</v>
      </c>
      <c r="AT21" s="5" t="str">
        <f>(IF(_xll.BDP($AI21&amp;" ISIN","DT247")="Y","Yes","No"))</f>
        <v>No</v>
      </c>
      <c r="AU21" s="5" t="str">
        <f>PROPER(IF(OR(_xll.BDP($AI21,"CPN_TYP")="#n/a N/A",_xll.BDP($AI21,"CPN_TYP")= "#N/A FIELD NOT APPLICABLE"), " ", _xll.BDP($AI21,"CPN_TYP")))</f>
        <v>Fixed</v>
      </c>
      <c r="BG21" s="27" t="str">
        <f t="shared" si="9"/>
        <v>US91086QAV05</v>
      </c>
      <c r="BH21" s="36">
        <v>45590</v>
      </c>
    </row>
    <row r="22" spans="1:60 16381:16381" s="15" customFormat="1" ht="14.45" customHeight="1" x14ac:dyDescent="0.25">
      <c r="A22" s="16" t="s">
        <v>139</v>
      </c>
      <c r="B22" s="16" t="s">
        <v>103</v>
      </c>
      <c r="C22" s="16">
        <v>4389270</v>
      </c>
      <c r="D22" s="16" t="s">
        <v>104</v>
      </c>
      <c r="E22" s="11" t="str">
        <f>_xll.BDP(AI22,"ds520")</f>
        <v>Oman Government International Bond</v>
      </c>
      <c r="F22" s="11" t="str">
        <f>_xll.BDP(AI22,"crncy")</f>
        <v>USD</v>
      </c>
      <c r="G22" s="34" t="s">
        <v>55</v>
      </c>
      <c r="H22" s="11" t="str">
        <f>IF(_xll.BDP(AI22,"RTG_MOODY")="#N/A N/A","N/A",_xll.BDP(AI22,"RTG_MOODY"))&amp;","&amp;IF(_xll.BDP(AI22,"RTG_FITCH")="#N/A N/A","N/A",_xll.BDP(AI22,"RTG_FITCH"))&amp;","&amp;IF(_xll.BDP(AI22,"RTG_SP")="#N/A N/A","N/A",_xll.BDP(AI22,"RTG_SP"))</f>
        <v>Ba1,BB+,BBB-</v>
      </c>
      <c r="I22" s="5">
        <f>_xll.BDP(AI22,"cpn")/100</f>
        <v>6.5000000000000002E-2</v>
      </c>
      <c r="J22" s="5">
        <f ca="1">_xll.BDP($G22&amp;" isin","YAS_BOND_YLD", "YAS_YLD_FLAG=15", "user_local_trade_date",AN22,"Yas_bond_px",$Q22)/100</f>
        <v>6.6594329999999993E-2</v>
      </c>
      <c r="K22" s="11" t="str">
        <f>_xll.BDP(AI22,"PAYMENT_RANK")</f>
        <v>Sr Unsecured</v>
      </c>
      <c r="L22" s="11" t="str">
        <f>IF((TEXT(_xll.BDP(AI22,"MATURITY"),"DD/MM/YYYY")="#N/A Field Not Applicable"),"Perp",TEXT(_xll.BDP(AI22,"MATURITY"),"DD/MM/YYYY"))</f>
        <v>08/03/2047</v>
      </c>
      <c r="M22" s="6">
        <f>(IF(_xll.BDP($AI22&amp;" ISIN","DU003")="#n/a n/a"," ",_xll.BDP($AI22&amp;" ISIN","DU003")))</f>
        <v>11.837853361879842</v>
      </c>
      <c r="N22" s="11" t="str">
        <f>IF(_xll.BDP(AI22,"CALLABLE")="Y",_xll.BDP(AI22,"NXT_CALL_DT")," ")</f>
        <v xml:space="preserve"> </v>
      </c>
      <c r="O22" s="35">
        <v>300000</v>
      </c>
      <c r="P22" s="34">
        <v>103.05</v>
      </c>
      <c r="Q22" s="13">
        <f>_xll.BDP(AI22,"px_bid")</f>
        <v>98.168000000000006</v>
      </c>
      <c r="R22" s="7">
        <f>IF(F22="USD",AG22,(((_xll.BDP(F22&amp;"USD CURNCY","PX_LAST")))*AG22))</f>
        <v>309150</v>
      </c>
      <c r="S22" s="7">
        <f>IF(F22="USD",AH22,(((_xll.BDP(F22&amp;"USD CURNCY","PX_LAST")))*AH22))+AP22</f>
        <v>296213.58904109593</v>
      </c>
      <c r="T22" s="8">
        <f t="shared" si="0"/>
        <v>-14645.999999999973</v>
      </c>
      <c r="U22" s="9">
        <f t="shared" si="1"/>
        <v>-4.7375060650169734E-2</v>
      </c>
      <c r="V22" s="9" cm="1">
        <f t="array" ref="V22">IFERROR(_xll.BDP($G22&amp;" ISIN","CHG_PCT_1D")/100,"")</f>
        <v>9.8497957344855815E-3</v>
      </c>
      <c r="W22" s="9" cm="1">
        <f t="array" ref="W22">IFERROR(_xll.BDP($G22&amp;" ISIN","CHG_PCT_5D")/100,"")</f>
        <v>-3.1196896026717762E-2</v>
      </c>
      <c r="X22" s="9" cm="1">
        <f t="array" ref="X22">_xll.BDP($G22&amp;" ISIN","CHG_PCT_1M")/100</f>
        <v>-3.5507529825933894E-2</v>
      </c>
      <c r="Y22" s="9" cm="1">
        <f t="array" ref="Y22">_xll.BDP($G22&amp;" ISIN","CHG_PCT_3M")/100</f>
        <v>1.0273902444021061E-2</v>
      </c>
      <c r="Z22" s="9" cm="1">
        <f t="array" ref="Z22">_xll.BDP($G22&amp;" ISIN","CHG_PCT_6M")/100</f>
        <v>-5.4725462195343966E-2</v>
      </c>
      <c r="AA22" s="9" cm="1">
        <f t="array" ref="AA22">_xll.BDP($G22&amp;" ISIN","CHG_PCT_YTD")/100</f>
        <v>-3.5361036179391014E-3</v>
      </c>
      <c r="AB22" s="9" t="e">
        <f t="shared" si="2"/>
        <v>#DIV/0!</v>
      </c>
      <c r="AC22" s="12">
        <f t="shared" ca="1" si="3"/>
        <v>-5600.166666666637</v>
      </c>
      <c r="AD22" s="11" t="str">
        <f>_xll.BDP(AI22,"DS199")</f>
        <v>Government</v>
      </c>
      <c r="AE22" s="13">
        <f>_xll.BDP(AI22,"px_ask")</f>
        <v>99.088999999999999</v>
      </c>
      <c r="AF22" s="12">
        <f>IF(F22="USD",O22,(((_xll.BDP(F22&amp;"USD CURNCY","PX_LAST")))*O22))</f>
        <v>300000</v>
      </c>
      <c r="AG22" s="7">
        <f t="shared" si="4"/>
        <v>309150</v>
      </c>
      <c r="AH22" s="7">
        <f t="shared" si="5"/>
        <v>294504.00000000006</v>
      </c>
      <c r="AI22" s="11" t="str">
        <f t="shared" si="6"/>
        <v>XS1575968026 ISIN</v>
      </c>
      <c r="AJ22" s="11" t="e" cm="1">
        <f t="array" ref="AJ22">VLOOKUP(IF(NOT(_xll.BDP($G22&amp;" CORP",#REF!)="#N/A N/A"),(_xll.BDP($G22&amp;" CORP",#REF!)),"-"), '[1]Country Codes'!$A$2:$B$253,2,0)</f>
        <v>#REF!</v>
      </c>
      <c r="AK22" s="11" t="str" cm="1">
        <f t="array" ref="AK22">IF(OR(_xll.BDP($AI22,"EX028")= "#N/A N/A", _xll.BDP($AI22,"EX028")="#N/A FIELD NOT APPLICABLE"), " ", _xll.BDP($AI22,"EX028"))</f>
        <v>FixedIncome</v>
      </c>
      <c r="AL22" s="5" t="str">
        <f>(IF(_xll.BDP($AI22&amp;" ISIN","DZ282")="Y","Single line Bonds Cocos","Single line Bonds ex Cocos"))</f>
        <v>Single line Bonds ex Cocos</v>
      </c>
      <c r="AM22" s="6">
        <f>(IF(_xll.BDP($G22&amp;" ISIN","SP153")="#n/a n/a"," ",_xll.BDP($G22&amp;" ISIN","SP153")))</f>
        <v>278.17881733263982</v>
      </c>
      <c r="AN22" s="14">
        <f t="shared" ca="1" si="7"/>
        <v>45755</v>
      </c>
      <c r="AO22" s="7">
        <f>(((_xll.BDP(AI22,"DS032"))/365)*I22)*O22</f>
        <v>1709.5890410958905</v>
      </c>
      <c r="AP22" s="7">
        <f>IF(F22="USD",AO22,(((_xll.BDP(F22&amp;"USD CURNCY","PX_LAST")))*AO22))</f>
        <v>1709.5890410958905</v>
      </c>
      <c r="AQ22" s="9" t="e">
        <f>S22/$S$172</f>
        <v>#DIV/0!</v>
      </c>
      <c r="AR22" s="7">
        <f t="shared" si="8"/>
        <v>294504.00000000006</v>
      </c>
      <c r="AS22" s="13">
        <f>IF((TEXT(_xll.BDP(AI22,"MATURITY"),"DD/MM/YYYY")="#N/A Field Not Applicable"),"Perp",_xll.BDP(AI22,"DS252"))</f>
        <v>21.913757700205338</v>
      </c>
      <c r="AT22" s="5" t="str">
        <f>(IF(_xll.BDP($AI22&amp;" ISIN","DT247")="Y","Yes","No"))</f>
        <v>No</v>
      </c>
      <c r="AU22" s="5" t="str">
        <f>PROPER(IF(OR(_xll.BDP($AI22,"CPN_TYP")="#n/a N/A",_xll.BDP($AI22,"CPN_TYP")= "#N/A FIELD NOT APPLICABLE"), " ", _xll.BDP($AI22,"CPN_TYP")))</f>
        <v>Fixed</v>
      </c>
      <c r="BG22" s="27" t="str">
        <f t="shared" si="9"/>
        <v>XS1575968026</v>
      </c>
      <c r="BH22" s="36">
        <v>45588</v>
      </c>
    </row>
    <row r="23" spans="1:60 16381:16381" s="15" customFormat="1" ht="14.45" customHeight="1" x14ac:dyDescent="0.25">
      <c r="A23" s="16" t="s">
        <v>139</v>
      </c>
      <c r="B23" s="16" t="s">
        <v>112</v>
      </c>
      <c r="C23" s="16">
        <v>4389070</v>
      </c>
      <c r="D23" s="16" t="s">
        <v>104</v>
      </c>
      <c r="E23" s="11" t="str">
        <f>_xll.BDP(AI23,"ds520")</f>
        <v>Oman Government International Bond</v>
      </c>
      <c r="F23" s="11" t="str">
        <f>_xll.BDP(AI23,"crncy")</f>
        <v>USD</v>
      </c>
      <c r="G23" s="34" t="s">
        <v>55</v>
      </c>
      <c r="H23" s="11" t="str">
        <f>IF(_xll.BDP(AI23,"RTG_MOODY")="#N/A N/A","N/A",_xll.BDP(AI23,"RTG_MOODY"))&amp;","&amp;IF(_xll.BDP(AI23,"RTG_FITCH")="#N/A N/A","N/A",_xll.BDP(AI23,"RTG_FITCH"))&amp;","&amp;IF(_xll.BDP(AI23,"RTG_SP")="#N/A N/A","N/A",_xll.BDP(AI23,"RTG_SP"))</f>
        <v>Ba1,BB+,BBB-</v>
      </c>
      <c r="I23" s="5">
        <f>_xll.BDP(AI23,"cpn")/100</f>
        <v>6.5000000000000002E-2</v>
      </c>
      <c r="J23" s="5">
        <f ca="1">_xll.BDP($G23&amp;" isin","YAS_BOND_YLD", "YAS_YLD_FLAG=15", "user_local_trade_date",AN23,"Yas_bond_px",$Q23)/100</f>
        <v>6.6594329999999993E-2</v>
      </c>
      <c r="K23" s="11" t="str">
        <f>_xll.BDP(AI23,"PAYMENT_RANK")</f>
        <v>Sr Unsecured</v>
      </c>
      <c r="L23" s="11" t="str">
        <f>IF((TEXT(_xll.BDP(AI23,"MATURITY"),"DD/MM/YYYY")="#N/A Field Not Applicable"),"Perp",TEXT(_xll.BDP(AI23,"MATURITY"),"DD/MM/YYYY"))</f>
        <v>08/03/2047</v>
      </c>
      <c r="M23" s="6">
        <f>(IF(_xll.BDP($AI23&amp;" ISIN","DU003")="#n/a n/a"," ",_xll.BDP($AI23&amp;" ISIN","DU003")))</f>
        <v>11.837853361879842</v>
      </c>
      <c r="N23" s="11" t="str">
        <f>IF(_xll.BDP(AI23,"CALLABLE")="Y",_xll.BDP(AI23,"NXT_CALL_DT")," ")</f>
        <v xml:space="preserve"> </v>
      </c>
      <c r="O23" s="35">
        <v>300000</v>
      </c>
      <c r="P23" s="34">
        <v>103.05</v>
      </c>
      <c r="Q23" s="13">
        <f>_xll.BDP(AI23,"px_bid")</f>
        <v>98.168000000000006</v>
      </c>
      <c r="R23" s="7">
        <f>IF(F23="USD",AG23,(((_xll.BDP(F23&amp;"USD CURNCY","PX_LAST")))*AG23))</f>
        <v>309150</v>
      </c>
      <c r="S23" s="7">
        <f>IF(F23="USD",AH23,(((_xll.BDP(F23&amp;"USD CURNCY","PX_LAST")))*AH23))+AP23</f>
        <v>296213.58904109593</v>
      </c>
      <c r="T23" s="8">
        <f t="shared" si="0"/>
        <v>-14645.999999999973</v>
      </c>
      <c r="U23" s="9">
        <f t="shared" si="1"/>
        <v>-4.7375060650169734E-2</v>
      </c>
      <c r="V23" s="9" cm="1">
        <f t="array" ref="V23">IFERROR(_xll.BDP($G23&amp;" ISIN","CHG_PCT_1D")/100,"")</f>
        <v>9.8497957344855815E-3</v>
      </c>
      <c r="W23" s="9" cm="1">
        <f t="array" ref="W23">IFERROR(_xll.BDP($G23&amp;" ISIN","CHG_PCT_5D")/100,"")</f>
        <v>-3.1196896026717762E-2</v>
      </c>
      <c r="X23" s="9" cm="1">
        <f t="array" ref="X23">_xll.BDP($G23&amp;" ISIN","CHG_PCT_1M")/100</f>
        <v>-3.5507529825933894E-2</v>
      </c>
      <c r="Y23" s="9" cm="1">
        <f t="array" ref="Y23">_xll.BDP($G23&amp;" ISIN","CHG_PCT_3M")/100</f>
        <v>1.0273902444021061E-2</v>
      </c>
      <c r="Z23" s="9" cm="1">
        <f t="array" ref="Z23">_xll.BDP($G23&amp;" ISIN","CHG_PCT_6M")/100</f>
        <v>-5.4725462195343966E-2</v>
      </c>
      <c r="AA23" s="9" cm="1">
        <f t="array" ref="AA23">_xll.BDP($G23&amp;" ISIN","CHG_PCT_YTD")/100</f>
        <v>-3.5361036179391014E-3</v>
      </c>
      <c r="AB23" s="9" t="e">
        <f t="shared" si="2"/>
        <v>#DIV/0!</v>
      </c>
      <c r="AC23" s="12">
        <f t="shared" ca="1" si="3"/>
        <v>-5600.166666666637</v>
      </c>
      <c r="AD23" s="11" t="str">
        <f>_xll.BDP(AI23,"DS199")</f>
        <v>Government</v>
      </c>
      <c r="AE23" s="13">
        <f>_xll.BDP(AI23,"px_ask")</f>
        <v>99.088999999999999</v>
      </c>
      <c r="AF23" s="12">
        <f>IF(F23="USD",O23,(((_xll.BDP(F23&amp;"USD CURNCY","PX_LAST")))*O23))</f>
        <v>300000</v>
      </c>
      <c r="AG23" s="7">
        <f t="shared" si="4"/>
        <v>309150</v>
      </c>
      <c r="AH23" s="7">
        <f t="shared" si="5"/>
        <v>294504.00000000006</v>
      </c>
      <c r="AI23" s="11" t="str">
        <f t="shared" si="6"/>
        <v>XS1575968026 ISIN</v>
      </c>
      <c r="AJ23" s="11" t="e" cm="1">
        <f t="array" ref="AJ23">VLOOKUP(IF(NOT(_xll.BDP($G23&amp;" CORP",#REF!)="#N/A N/A"),(_xll.BDP($G23&amp;" CORP",#REF!)),"-"), '[1]Country Codes'!$A$2:$B$253,2,0)</f>
        <v>#REF!</v>
      </c>
      <c r="AK23" s="11" t="str" cm="1">
        <f t="array" ref="AK23">IF(OR(_xll.BDP($AI23,"EX028")= "#N/A N/A", _xll.BDP($AI23,"EX028")="#N/A FIELD NOT APPLICABLE"), " ", _xll.BDP($AI23,"EX028"))</f>
        <v>FixedIncome</v>
      </c>
      <c r="AL23" s="5" t="str">
        <f>(IF(_xll.BDP($AI23&amp;" ISIN","DZ282")="Y","Single line Bonds Cocos","Single line Bonds ex Cocos"))</f>
        <v>Single line Bonds ex Cocos</v>
      </c>
      <c r="AM23" s="6">
        <f>(IF(_xll.BDP($G23&amp;" ISIN","SP153")="#n/a n/a"," ",_xll.BDP($G23&amp;" ISIN","SP153")))</f>
        <v>278.17881733263982</v>
      </c>
      <c r="AN23" s="14">
        <f t="shared" ca="1" si="7"/>
        <v>45755</v>
      </c>
      <c r="AO23" s="7">
        <f>(((_xll.BDP(AI23,"DS032"))/365)*I23)*O23</f>
        <v>1709.5890410958905</v>
      </c>
      <c r="AP23" s="7">
        <f>IF(F23="USD",AO23,(((_xll.BDP(F23&amp;"USD CURNCY","PX_LAST")))*AO23))</f>
        <v>1709.5890410958905</v>
      </c>
      <c r="AQ23" s="9" t="e">
        <f>S23/$S$172</f>
        <v>#DIV/0!</v>
      </c>
      <c r="AR23" s="7">
        <f t="shared" si="8"/>
        <v>294504.00000000006</v>
      </c>
      <c r="AS23" s="13">
        <f>IF((TEXT(_xll.BDP(AI23,"MATURITY"),"DD/MM/YYYY")="#N/A Field Not Applicable"),"Perp",_xll.BDP(AI23,"DS252"))</f>
        <v>21.913757700205338</v>
      </c>
      <c r="AT23" s="5" t="str">
        <f>(IF(_xll.BDP($AI23&amp;" ISIN","DT247")="Y","Yes","No"))</f>
        <v>No</v>
      </c>
      <c r="AU23" s="5" t="str">
        <f>PROPER(IF(OR(_xll.BDP($AI23,"CPN_TYP")="#n/a N/A",_xll.BDP($AI23,"CPN_TYP")= "#N/A FIELD NOT APPLICABLE"), " ", _xll.BDP($AI23,"CPN_TYP")))</f>
        <v>Fixed</v>
      </c>
      <c r="BG23" s="27" t="str">
        <f t="shared" si="9"/>
        <v>XS1575968026</v>
      </c>
      <c r="BH23" s="36">
        <v>45588</v>
      </c>
    </row>
    <row r="24" spans="1:60 16381:16381" s="15" customFormat="1" ht="14.45" customHeight="1" x14ac:dyDescent="0.25">
      <c r="A24" s="16" t="s">
        <v>138</v>
      </c>
      <c r="B24" s="16" t="s">
        <v>113</v>
      </c>
      <c r="C24" s="16" t="s">
        <v>114</v>
      </c>
      <c r="D24" s="16" t="s">
        <v>100</v>
      </c>
      <c r="E24" s="11" t="str">
        <f>_xll.BDP(AI24,"ds520")</f>
        <v>Oman Government International Bond</v>
      </c>
      <c r="F24" s="11" t="str">
        <f>_xll.BDP(AI24,"crncy")</f>
        <v>USD</v>
      </c>
      <c r="G24" s="34" t="s">
        <v>55</v>
      </c>
      <c r="H24" s="11" t="str">
        <f>IF(_xll.BDP(AI24,"RTG_MOODY")="#N/A N/A","N/A",_xll.BDP(AI24,"RTG_MOODY"))&amp;","&amp;IF(_xll.BDP(AI24,"RTG_FITCH")="#N/A N/A","N/A",_xll.BDP(AI24,"RTG_FITCH"))&amp;","&amp;IF(_xll.BDP(AI24,"RTG_SP")="#N/A N/A","N/A",_xll.BDP(AI24,"RTG_SP"))</f>
        <v>Ba1,BB+,BBB-</v>
      </c>
      <c r="I24" s="5">
        <f>_xll.BDP(AI24,"cpn")/100</f>
        <v>6.5000000000000002E-2</v>
      </c>
      <c r="J24" s="5">
        <f ca="1">_xll.BDP($G24&amp;" isin","YAS_BOND_YLD", "YAS_YLD_FLAG=15", "user_local_trade_date",AN24,"Yas_bond_px",$Q24)/100</f>
        <v>6.6594329999999993E-2</v>
      </c>
      <c r="K24" s="11" t="str">
        <f>_xll.BDP(AI24,"PAYMENT_RANK")</f>
        <v>Sr Unsecured</v>
      </c>
      <c r="L24" s="11" t="str">
        <f>IF((TEXT(_xll.BDP(AI24,"MATURITY"),"DD/MM/YYYY")="#N/A Field Not Applicable"),"Perp",TEXT(_xll.BDP(AI24,"MATURITY"),"DD/MM/YYYY"))</f>
        <v>08/03/2047</v>
      </c>
      <c r="M24" s="6">
        <f>(IF(_xll.BDP($AI24&amp;" ISIN","DU003")="#n/a n/a"," ",_xll.BDP($AI24&amp;" ISIN","DU003")))</f>
        <v>11.837853361879842</v>
      </c>
      <c r="N24" s="11" t="str">
        <f>IF(_xll.BDP(AI24,"CALLABLE")="Y",_xll.BDP(AI24,"NXT_CALL_DT")," ")</f>
        <v xml:space="preserve"> </v>
      </c>
      <c r="O24" s="35">
        <v>300000</v>
      </c>
      <c r="P24" s="34">
        <v>99.7</v>
      </c>
      <c r="Q24" s="13">
        <f>_xll.BDP(AI24,"px_bid")</f>
        <v>98.168000000000006</v>
      </c>
      <c r="R24" s="7">
        <f>IF(F24="USD",AG24,(((_xll.BDP(F24&amp;"USD CURNCY","PX_LAST")))*AG24))</f>
        <v>299100</v>
      </c>
      <c r="S24" s="7">
        <f>IF(F24="USD",AH24,(((_xll.BDP(F24&amp;"USD CURNCY","PX_LAST")))*AH24))+AP24</f>
        <v>296237.33333333337</v>
      </c>
      <c r="T24" s="8">
        <f t="shared" si="0"/>
        <v>-4595.9999999999891</v>
      </c>
      <c r="U24" s="9">
        <f t="shared" si="1"/>
        <v>-1.5366098294884618E-2</v>
      </c>
      <c r="V24" s="9" cm="1">
        <f t="array" ref="V24">IFERROR(_xll.BDP($G24&amp;" ISIN","CHG_PCT_1D")/100,"")</f>
        <v>9.8497957344855815E-3</v>
      </c>
      <c r="W24" s="9" cm="1">
        <f t="array" ref="W24">IFERROR(_xll.BDP($G24&amp;" ISIN","CHG_PCT_5D")/100,"")</f>
        <v>-3.1196896026717762E-2</v>
      </c>
      <c r="X24" s="9" cm="1">
        <f t="array" ref="X24">_xll.BDP($G24&amp;" ISIN","CHG_PCT_1M")/100</f>
        <v>-3.5507529825933894E-2</v>
      </c>
      <c r="Y24" s="9" cm="1">
        <f t="array" ref="Y24">_xll.BDP($G24&amp;" ISIN","CHG_PCT_3M")/100</f>
        <v>1.0273902444021061E-2</v>
      </c>
      <c r="Z24" s="9" cm="1">
        <f t="array" ref="Z24">_xll.BDP($G24&amp;" ISIN","CHG_PCT_6M")/100</f>
        <v>-5.4725462195343966E-2</v>
      </c>
      <c r="AA24" s="9" cm="1">
        <f t="array" ref="AA24">_xll.BDP($G24&amp;" ISIN","CHG_PCT_YTD")/100</f>
        <v>-3.5361036179391014E-3</v>
      </c>
      <c r="AB24" s="9" t="e">
        <f t="shared" si="2"/>
        <v>#DIV/0!</v>
      </c>
      <c r="AC24" s="12">
        <f t="shared" ca="1" si="3"/>
        <v>11816.500000000011</v>
      </c>
      <c r="AD24" s="11" t="str">
        <f>_xll.BDP(AI24,"DS199")</f>
        <v>Government</v>
      </c>
      <c r="AE24" s="13">
        <f>_xll.BDP(AI24,"px_ask")</f>
        <v>99.088999999999999</v>
      </c>
      <c r="AF24" s="12">
        <f>IF(F24="USD",O24,(((_xll.BDP(F24&amp;"USD CURNCY","PX_LAST")))*O24))</f>
        <v>300000</v>
      </c>
      <c r="AG24" s="7">
        <f t="shared" si="4"/>
        <v>299100</v>
      </c>
      <c r="AH24" s="7">
        <f t="shared" si="5"/>
        <v>294504.00000000006</v>
      </c>
      <c r="AI24" s="11" t="str">
        <f t="shared" si="6"/>
        <v>XS1575968026 ISIN</v>
      </c>
      <c r="AJ24" s="11" t="e" cm="1">
        <f t="array" ref="AJ24">VLOOKUP(IF(NOT(_xll.BDP($G24&amp;" CORP",#REF!)="#N/A N/A"),(_xll.BDP($G24&amp;" CORP",#REF!)),"-"), '[1]Country Codes'!$A$2:$B$253,2,0)</f>
        <v>#REF!</v>
      </c>
      <c r="AK24" s="11" t="str" cm="1">
        <f t="array" ref="AK24">IF(OR(_xll.BDP($AI24,"EX028")= "#N/A N/A", _xll.BDP($AI24,"EX028")="#N/A FIELD NOT APPLICABLE"), " ", _xll.BDP($AI24,"EX028"))</f>
        <v>FixedIncome</v>
      </c>
      <c r="AL24" s="5" t="str">
        <f>(IF(_xll.BDP($AI24&amp;" ISIN","DZ282")="Y","Single line Bonds Cocos","Single line Bonds ex Cocos"))</f>
        <v>Single line Bonds ex Cocos</v>
      </c>
      <c r="AM24" s="6">
        <f>(IF(_xll.BDP($G24&amp;" ISIN","SP153")="#n/a n/a"," ",_xll.BDP($G24&amp;" ISIN","SP153")))</f>
        <v>278.17881733263982</v>
      </c>
      <c r="AN24" s="14">
        <f t="shared" ca="1" si="7"/>
        <v>45755</v>
      </c>
      <c r="AO24" s="7">
        <f>(((_xll.BDP(AI24,"DS032"))/360)*I24)*O24</f>
        <v>1733.3333333333335</v>
      </c>
      <c r="AP24" s="7">
        <f>IF(F24="USD",AO24,(((_xll.BDP(F24&amp;"USD CURNCY","PX_LAST")))*AO24))</f>
        <v>1733.3333333333335</v>
      </c>
      <c r="AQ24" s="9" t="e">
        <f>S24/$S$181</f>
        <v>#DIV/0!</v>
      </c>
      <c r="AR24" s="7">
        <f t="shared" si="8"/>
        <v>294504.00000000006</v>
      </c>
      <c r="AS24" s="13">
        <f>IF((TEXT(_xll.BDP(AI24,"MATURITY"),"DD/MM/YYYY")="#N/A Field Not Applicable"),"Perp",_xll.BDP(AI24,"DS252"))</f>
        <v>21.913757700205338</v>
      </c>
      <c r="AT24" s="5" t="str">
        <f>(IF(_xll.BDP($AI24&amp;" ISIN","DT247")="Y","Yes","No"))</f>
        <v>No</v>
      </c>
      <c r="AU24" s="5" t="str">
        <f>PROPER(IF(OR(_xll.BDP($AI24,"CPN_TYP")="#n/a N/A",_xll.BDP($AI24,"CPN_TYP")= "#N/A FIELD NOT APPLICABLE"), " ", _xll.BDP($AI24,"CPN_TYP")))</f>
        <v>Fixed</v>
      </c>
      <c r="BG24" s="27" t="str">
        <f t="shared" si="9"/>
        <v>XS1575968026</v>
      </c>
      <c r="BH24" s="36">
        <v>45452</v>
      </c>
    </row>
    <row r="25" spans="1:60 16381:16381" s="15" customFormat="1" ht="14.45" customHeight="1" x14ac:dyDescent="0.25">
      <c r="A25" s="16" t="s">
        <v>138</v>
      </c>
      <c r="B25" s="16" t="s">
        <v>119</v>
      </c>
      <c r="C25" s="16">
        <v>6504690</v>
      </c>
      <c r="D25" s="16" t="s">
        <v>120</v>
      </c>
      <c r="E25" s="11" t="str">
        <f>_xll.BDP(AI25,"ds520")</f>
        <v>Oman Government International Bond</v>
      </c>
      <c r="F25" s="11" t="str">
        <f>_xll.BDP(AI25,"crncy")</f>
        <v>USD</v>
      </c>
      <c r="G25" s="34" t="s">
        <v>55</v>
      </c>
      <c r="H25" s="11" t="str">
        <f>IF(_xll.BDP(AI25,"RTG_MOODY")="#N/A N/A","N/A",_xll.BDP(AI25,"RTG_MOODY"))&amp;","&amp;IF(_xll.BDP(AI25,"RTG_FITCH")="#N/A N/A","N/A",_xll.BDP(AI25,"RTG_FITCH"))&amp;","&amp;IF(_xll.BDP(AI25,"RTG_SP")="#N/A N/A","N/A",_xll.BDP(AI25,"RTG_SP"))</f>
        <v>Ba1,BB+,BBB-</v>
      </c>
      <c r="I25" s="5">
        <f>_xll.BDP(AI25,"cpn")/100</f>
        <v>6.5000000000000002E-2</v>
      </c>
      <c r="J25" s="5">
        <f ca="1">_xll.BDP($G25&amp;" isin","YAS_BOND_YLD", "YAS_YLD_FLAG=15", "user_local_trade_date",AN25,"Yas_bond_px",$Q25)/100</f>
        <v>6.6594329999999993E-2</v>
      </c>
      <c r="K25" s="11" t="str">
        <f>_xll.BDP(AI25,"PAYMENT_RANK")</f>
        <v>Sr Unsecured</v>
      </c>
      <c r="L25" s="11" t="str">
        <f>IF((TEXT(_xll.BDP(AI25,"MATURITY"),"DD/MM/YYYY")="#N/A Field Not Applicable"),"Perp",TEXT(_xll.BDP(AI25,"MATURITY"),"DD/MM/YYYY"))</f>
        <v>08/03/2047</v>
      </c>
      <c r="M25" s="6">
        <f>(IF(_xll.BDP($AI25&amp;" ISIN","DU003")="#n/a n/a"," ",_xll.BDP($AI25&amp;" ISIN","DU003")))</f>
        <v>11.837853361879842</v>
      </c>
      <c r="N25" s="11" t="str">
        <f>IF(_xll.BDP(AI25,"CALLABLE")="Y",_xll.BDP(AI25,"NXT_CALL_DT")," ")</f>
        <v xml:space="preserve"> </v>
      </c>
      <c r="O25" s="35">
        <v>500000</v>
      </c>
      <c r="P25" s="34">
        <v>103.05</v>
      </c>
      <c r="Q25" s="13">
        <f>_xll.BDP(AI25,"px_bid")</f>
        <v>98.168000000000006</v>
      </c>
      <c r="R25" s="7">
        <f>IF(F25="USD",AG25,(((_xll.BDP(F25&amp;"USD CURNCY","PX_LAST")))*AG25))</f>
        <v>515250</v>
      </c>
      <c r="S25" s="7">
        <f>IF(F25="USD",AH25,(((_xll.BDP(F25&amp;"USD CURNCY","PX_LAST")))*AH25))+AP25</f>
        <v>493728.88888888888</v>
      </c>
      <c r="T25" s="8">
        <f t="shared" si="0"/>
        <v>-24409.999999999956</v>
      </c>
      <c r="U25" s="9">
        <f t="shared" si="1"/>
        <v>-4.7375060650169734E-2</v>
      </c>
      <c r="V25" s="9" cm="1">
        <f t="array" ref="V25">IFERROR(_xll.BDP($G25&amp;" ISIN","CHG_PCT_1D")/100,"")</f>
        <v>9.8497957344855815E-3</v>
      </c>
      <c r="W25" s="9" cm="1">
        <f t="array" ref="W25">IFERROR(_xll.BDP($G25&amp;" ISIN","CHG_PCT_5D")/100,"")</f>
        <v>-3.1196896026717762E-2</v>
      </c>
      <c r="X25" s="9" cm="1">
        <f t="array" ref="X25">_xll.BDP($G25&amp;" ISIN","CHG_PCT_1M")/100</f>
        <v>-3.5507529825933894E-2</v>
      </c>
      <c r="Y25" s="9" cm="1">
        <f t="array" ref="Y25">_xll.BDP($G25&amp;" ISIN","CHG_PCT_3M")/100</f>
        <v>1.0273902444021061E-2</v>
      </c>
      <c r="Z25" s="9" cm="1">
        <f t="array" ref="Z25">_xll.BDP($G25&amp;" ISIN","CHG_PCT_6M")/100</f>
        <v>-5.4725462195343966E-2</v>
      </c>
      <c r="AA25" s="9" cm="1">
        <f t="array" ref="AA25">_xll.BDP($G25&amp;" ISIN","CHG_PCT_YTD")/100</f>
        <v>-3.5361036179391014E-3</v>
      </c>
      <c r="AB25" s="9" t="e">
        <f t="shared" si="2"/>
        <v>#DIV/0!</v>
      </c>
      <c r="AC25" s="12">
        <f t="shared" ca="1" si="3"/>
        <v>-9243.3333333332866</v>
      </c>
      <c r="AD25" s="11" t="str">
        <f>_xll.BDP(AI25,"DS199")</f>
        <v>Government</v>
      </c>
      <c r="AE25" s="13">
        <f>_xll.BDP(AI25,"px_ask")</f>
        <v>99.088999999999999</v>
      </c>
      <c r="AF25" s="12">
        <f>IF(F25="USD",O25,(((_xll.BDP(F25&amp;"USD CURNCY","PX_LAST")))*O25))</f>
        <v>500000</v>
      </c>
      <c r="AG25" s="7">
        <f t="shared" si="4"/>
        <v>515250</v>
      </c>
      <c r="AH25" s="7">
        <f t="shared" si="5"/>
        <v>490840</v>
      </c>
      <c r="AI25" s="11" t="str">
        <f t="shared" si="6"/>
        <v>XS1575968026 ISIN</v>
      </c>
      <c r="AJ25" s="11" t="e" cm="1">
        <f t="array" ref="AJ25">VLOOKUP(IF(NOT(_xll.BDP($G25&amp;" CORP",#REF!)="#N/A N/A"),(_xll.BDP($G25&amp;" CORP",#REF!)),"-"), '[1]Country Codes'!$A$2:$B$253,2,0)</f>
        <v>#REF!</v>
      </c>
      <c r="AK25" s="11" t="str" cm="1">
        <f t="array" ref="AK25">IF(OR(_xll.BDP($AI25,"EX028")= "#N/A N/A", _xll.BDP($AI25,"EX028")="#N/A FIELD NOT APPLICABLE"), " ", _xll.BDP($AI25,"EX028"))</f>
        <v>FixedIncome</v>
      </c>
      <c r="AL25" s="5" t="str">
        <f>(IF(_xll.BDP($AI25&amp;" ISIN","DZ282")="Y","Single line Bonds Cocos","Single line Bonds ex Cocos"))</f>
        <v>Single line Bonds ex Cocos</v>
      </c>
      <c r="AM25" s="6">
        <f>(IF(_xll.BDP($G25&amp;" ISIN","SP153")="#n/a n/a"," ",_xll.BDP($G25&amp;" ISIN","SP153")))</f>
        <v>278.17881733263982</v>
      </c>
      <c r="AN25" s="14">
        <f t="shared" ca="1" si="7"/>
        <v>45755</v>
      </c>
      <c r="AO25" s="7">
        <f>(((_xll.BDP(AI25,"DS032"))/360)*I25)*O25</f>
        <v>2888.8888888888891</v>
      </c>
      <c r="AP25" s="7">
        <f>IF(F25="USD",AO25,(((_xll.BDP(F25&amp;"USD CURNCY","PX_LAST")))*AO25))</f>
        <v>2888.8888888888891</v>
      </c>
      <c r="AQ25" s="9" t="e">
        <f>S25/$S$180</f>
        <v>#DIV/0!</v>
      </c>
      <c r="AR25" s="7">
        <f t="shared" si="8"/>
        <v>490840</v>
      </c>
      <c r="AS25" s="13">
        <f>IF((TEXT(_xll.BDP(AI25,"MATURITY"),"DD/MM/YYYY")="#N/A Field Not Applicable"),"Perp",_xll.BDP(AI25,"DS252"))</f>
        <v>21.913757700205338</v>
      </c>
      <c r="AT25" s="5" t="str">
        <f>(IF(_xll.BDP($AI25&amp;" ISIN","DT247")="Y","Yes","No"))</f>
        <v>No</v>
      </c>
      <c r="AU25" s="5" t="str">
        <f>PROPER(IF(OR(_xll.BDP($AI25,"CPN_TYP")="#n/a N/A",_xll.BDP($AI25,"CPN_TYP")= "#N/A FIELD NOT APPLICABLE"), " ", _xll.BDP($AI25,"CPN_TYP")))</f>
        <v>Fixed</v>
      </c>
      <c r="BG25" s="27" t="str">
        <f t="shared" si="9"/>
        <v>XS1575968026</v>
      </c>
      <c r="BH25" s="36">
        <v>45587</v>
      </c>
    </row>
    <row r="26" spans="1:60 16381:16381" s="15" customFormat="1" ht="14.45" customHeight="1" x14ac:dyDescent="0.25">
      <c r="A26" s="16" t="s">
        <v>138</v>
      </c>
      <c r="B26" s="16" t="s">
        <v>88</v>
      </c>
      <c r="C26" s="16">
        <v>4371510</v>
      </c>
      <c r="D26" s="16" t="s">
        <v>89</v>
      </c>
      <c r="E26" s="11" t="str">
        <f>_xll.BDP(AI26,"ds520")</f>
        <v>Oman Government International Bond</v>
      </c>
      <c r="F26" s="11" t="str">
        <f>_xll.BDP(AI26,"crncy")</f>
        <v>USD</v>
      </c>
      <c r="G26" s="34" t="s">
        <v>90</v>
      </c>
      <c r="H26" s="11" t="str">
        <f>IF(_xll.BDP(AI26,"RTG_MOODY")="#N/A N/A","N/A",_xll.BDP(AI26,"RTG_MOODY"))&amp;","&amp;IF(_xll.BDP(AI26,"RTG_FITCH")="#N/A N/A","N/A",_xll.BDP(AI26,"RTG_FITCH"))&amp;","&amp;IF(_xll.BDP(AI26,"RTG_SP")="#N/A N/A","N/A",_xll.BDP(AI26,"RTG_SP"))</f>
        <v>Ba1,BB+,N/A</v>
      </c>
      <c r="I26" s="5">
        <f>_xll.BDP(AI26,"cpn")/100</f>
        <v>6.7500000000000004E-2</v>
      </c>
      <c r="J26" s="5">
        <f ca="1">_xll.BDP($G26&amp;" isin","YAS_BOND_YLD", "YAS_YLD_FLAG=15", "user_local_trade_date",AN26,"Yas_bond_px",$Q26)/100</f>
        <v>6.5795309999999996E-2</v>
      </c>
      <c r="K26" s="11" t="str">
        <f>_xll.BDP(AI26,"PAYMENT_RANK")</f>
        <v>Sr Unsecured</v>
      </c>
      <c r="L26" s="11" t="str">
        <f>IF((TEXT(_xll.BDP(AI26,"MATURITY"),"DD/MM/YYYY")="#N/A Field Not Applicable"),"Perp",TEXT(_xll.BDP(AI26,"MATURITY"),"DD/MM/YYYY"))</f>
        <v>17/01/2048</v>
      </c>
      <c r="M26" s="6">
        <f>(IF(_xll.BDP($AI26&amp;" ISIN","DU003")="#n/a n/a"," ",_xll.BDP($AI26&amp;" ISIN","DU003")))</f>
        <v>11.891105359300477</v>
      </c>
      <c r="N26" s="11" t="str">
        <f>IF(_xll.BDP(AI26,"CALLABLE")="Y",_xll.BDP(AI26,"NXT_CALL_DT")," ")</f>
        <v xml:space="preserve"> </v>
      </c>
      <c r="O26" s="35">
        <v>500000</v>
      </c>
      <c r="P26" s="34">
        <v>102.642</v>
      </c>
      <c r="Q26" s="13">
        <f>_xll.BDP(AI26,"px_bid")</f>
        <v>101.98399999999999</v>
      </c>
      <c r="R26" s="7">
        <f>IF(F26="USD",AG26,(((_xll.BDP(F26&amp;"USD CURNCY","PX_LAST")))*AG26))</f>
        <v>513210</v>
      </c>
      <c r="S26" s="7">
        <f>IF(F26="USD",AH26,(((_xll.BDP(F26&amp;"USD CURNCY","PX_LAST")))*AH26))+AP26</f>
        <v>517513.75</v>
      </c>
      <c r="T26" s="8">
        <f t="shared" si="0"/>
        <v>-3290.0000000000064</v>
      </c>
      <c r="U26" s="9">
        <f t="shared" si="1"/>
        <v>-6.4106311256600735E-3</v>
      </c>
      <c r="V26" s="9" cm="1">
        <f t="array" ref="V26">IFERROR(_xll.BDP($G26&amp;" ISIN","CHG_PCT_1D")/100,"")</f>
        <v>-1.5669611528219676E-2</v>
      </c>
      <c r="W26" s="9" cm="1">
        <f t="array" ref="W26">IFERROR(_xll.BDP($G26&amp;" ISIN","CHG_PCT_5D")/100,"")</f>
        <v>-2.2006361213788378E-2</v>
      </c>
      <c r="X26" s="9" cm="1">
        <f t="array" ref="X26">_xll.BDP($G26&amp;" ISIN","CHG_PCT_1M")/100</f>
        <v>-2.5357662982952126E-2</v>
      </c>
      <c r="Y26" s="9" cm="1">
        <f t="array" ref="Y26">_xll.BDP($G26&amp;" ISIN","CHG_PCT_3M")/100</f>
        <v>1.1758544707172689E-2</v>
      </c>
      <c r="Z26" s="9" cm="1">
        <f t="array" ref="Z26">_xll.BDP($G26&amp;" ISIN","CHG_PCT_6M")/100</f>
        <v>-5.0043140638481497E-2</v>
      </c>
      <c r="AA26" s="9" cm="1">
        <f t="array" ref="AA26">_xll.BDP($G26&amp;" ISIN","CHG_PCT_YTD")/100</f>
        <v>8.8079685514143545E-3</v>
      </c>
      <c r="AB26" s="9" t="e">
        <f t="shared" si="2"/>
        <v>#DIV/0!</v>
      </c>
      <c r="AC26" s="12">
        <f t="shared" ca="1" si="3"/>
        <v>27272.499999999993</v>
      </c>
      <c r="AD26" s="11" t="str">
        <f>_xll.BDP(AI26,"DS199")</f>
        <v>Government</v>
      </c>
      <c r="AE26" s="13">
        <f>_xll.BDP(AI26,"px_ask")</f>
        <v>102.801</v>
      </c>
      <c r="AF26" s="12">
        <f>IF(F26="USD",O26,(((_xll.BDP(F26&amp;"USD CURNCY","PX_LAST")))*O26))</f>
        <v>500000</v>
      </c>
      <c r="AG26" s="7">
        <f t="shared" si="4"/>
        <v>513210</v>
      </c>
      <c r="AH26" s="7">
        <f t="shared" si="5"/>
        <v>509920</v>
      </c>
      <c r="AI26" s="11" t="str">
        <f t="shared" si="6"/>
        <v>XS1750114396 ISIN</v>
      </c>
      <c r="AJ26" s="11" t="e" cm="1">
        <f t="array" ref="AJ26">VLOOKUP(IF(NOT(_xll.BDP($G26&amp;" CORP",#REF!)="#N/A N/A"),(_xll.BDP($G26&amp;" CORP",#REF!)),"-"), '[1]Country Codes'!$A$2:$B$253,2,0)</f>
        <v>#REF!</v>
      </c>
      <c r="AK26" s="11" t="str" cm="1">
        <f t="array" ref="AK26">IF(OR(_xll.BDP($AI26,"EX028")= "#N/A N/A", _xll.BDP($AI26,"EX028")="#N/A FIELD NOT APPLICABLE"), " ", _xll.BDP($AI26,"EX028"))</f>
        <v>FixedIncome</v>
      </c>
      <c r="AL26" s="5" t="str">
        <f>(IF(_xll.BDP($AI26&amp;" ISIN","DZ282")="Y","Single line Bonds Cocos","Single line Bonds ex Cocos"))</f>
        <v>Single line Bonds ex Cocos</v>
      </c>
      <c r="AM26" s="6">
        <f>(IF(_xll.BDP($G26&amp;" ISIN","SP153")="#n/a n/a"," ",_xll.BDP($G26&amp;" ISIN","SP153")))</f>
        <v>297.47991788592145</v>
      </c>
      <c r="AN26" s="14">
        <f t="shared" ca="1" si="7"/>
        <v>45755</v>
      </c>
      <c r="AO26" s="7">
        <f>(((_xll.BDP(AI26,"DS032"))/360)*I26)*O26</f>
        <v>7593.7500000000009</v>
      </c>
      <c r="AP26" s="7">
        <f>IF(F26="USD",AO26,(((_xll.BDP(F26&amp;"USD CURNCY","PX_LAST")))*AO26))</f>
        <v>7593.7500000000009</v>
      </c>
      <c r="AQ26" s="9" t="e">
        <f>S26/$S$177</f>
        <v>#DIV/0!</v>
      </c>
      <c r="AR26" s="7">
        <f t="shared" si="8"/>
        <v>509920</v>
      </c>
      <c r="AS26" s="13">
        <f>IF((TEXT(_xll.BDP(AI26,"MATURITY"),"DD/MM/YYYY")="#N/A Field Not Applicable"),"Perp",_xll.BDP(AI26,"DS252"))</f>
        <v>22.787132101300479</v>
      </c>
      <c r="AT26" s="5" t="str">
        <f>(IF(_xll.BDP($AI26&amp;" ISIN","DT247")="Y","Yes","No"))</f>
        <v>No</v>
      </c>
      <c r="AU26" s="5" t="str">
        <f>PROPER(IF(OR(_xll.BDP($AI26,"CPN_TYP")="#n/a N/A",_xll.BDP($AI26,"CPN_TYP")= "#N/A FIELD NOT APPLICABLE"), " ", _xll.BDP($AI26,"CPN_TYP")))</f>
        <v>Fixed</v>
      </c>
      <c r="BG26" s="27" t="str">
        <f t="shared" si="9"/>
        <v>XS1750114396</v>
      </c>
      <c r="BH26" s="36">
        <v>45429</v>
      </c>
      <c r="XFA26" s="37"/>
    </row>
    <row r="27" spans="1:60 16381:16381" s="15" customFormat="1" ht="14.45" customHeight="1" x14ac:dyDescent="0.25">
      <c r="A27" s="16" t="s">
        <v>138</v>
      </c>
      <c r="B27" s="16" t="s">
        <v>115</v>
      </c>
      <c r="C27" s="16">
        <v>13948491</v>
      </c>
      <c r="D27" s="16" t="s">
        <v>116</v>
      </c>
      <c r="E27" s="11" t="str">
        <f>_xll.BDP(AI27,"ds520")</f>
        <v>Pakistan Government International Bond</v>
      </c>
      <c r="F27" s="11" t="str">
        <f>_xll.BDP(AI27,"crncy")</f>
        <v>USD</v>
      </c>
      <c r="G27" s="34" t="s">
        <v>118</v>
      </c>
      <c r="H27" s="11" t="str">
        <f>IF(_xll.BDP(AI27,"RTG_MOODY")="#N/A N/A","N/A",_xll.BDP(AI27,"RTG_MOODY"))&amp;","&amp;IF(_xll.BDP(AI27,"RTG_FITCH")="#N/A N/A","N/A",_xll.BDP(AI27,"RTG_FITCH"))&amp;","&amp;IF(_xll.BDP(AI27,"RTG_SP")="#N/A N/A","N/A",_xll.BDP(AI27,"RTG_SP"))</f>
        <v>Caa2,CCC+,N/A</v>
      </c>
      <c r="I27" s="5">
        <f>_xll.BDP(AI27,"cpn")/100</f>
        <v>8.8749999999999996E-2</v>
      </c>
      <c r="J27" s="5">
        <f ca="1">_xll.BDP($G27&amp;" isin","YAS_BOND_YLD", "YAS_YLD_FLAG=15", "user_local_trade_date",AN27,"Yas_bond_px",$Q27)/100</f>
        <v>0.12230943</v>
      </c>
      <c r="K27" s="11" t="str">
        <f>_xll.BDP(AI27,"PAYMENT_RANK")</f>
        <v>Sr Unsecured</v>
      </c>
      <c r="L27" s="11" t="str">
        <f>IF((TEXT(_xll.BDP(AI27,"MATURITY"),"DD/MM/YYYY")="#N/A Field Not Applicable"),"Perp",TEXT(_xll.BDP(AI27,"MATURITY"),"DD/MM/YYYY"))</f>
        <v>08/04/2051</v>
      </c>
      <c r="M27" s="6">
        <f>(IF(_xll.BDP($AI27&amp;" ISIN","DU003")="#n/a n/a"," ",_xll.BDP($AI27&amp;" ISIN","DU003")))</f>
        <v>8.6197476370925816</v>
      </c>
      <c r="N27" s="11" t="str">
        <f>IF(_xll.BDP(AI27,"CALLABLE")="Y",_xll.BDP(AI27,"NXT_CALL_DT")," ")</f>
        <v xml:space="preserve"> </v>
      </c>
      <c r="O27" s="35">
        <v>750000</v>
      </c>
      <c r="P27" s="34">
        <v>104.6087</v>
      </c>
      <c r="Q27" s="13">
        <f>_xll.BDP(AI27,"px_bid")</f>
        <v>73.813999999999993</v>
      </c>
      <c r="R27" s="7">
        <f>IF(F27="USD",AG27,(((_xll.BDP(F27&amp;"USD CURNCY","PX_LAST")))*AG27))</f>
        <v>784565.25</v>
      </c>
      <c r="S27" s="7">
        <f>IF(F27="USD",AH27,(((_xll.BDP(F27&amp;"USD CURNCY","PX_LAST")))*AH27))+AP27</f>
        <v>553604.99999999988</v>
      </c>
      <c r="T27" s="8">
        <f t="shared" si="0"/>
        <v>-230960.25000000006</v>
      </c>
      <c r="U27" s="9">
        <f t="shared" si="1"/>
        <v>-0.29437991295179089</v>
      </c>
      <c r="V27" s="9" cm="1">
        <f t="array" ref="V27">IFERROR(_xll.BDP($G27&amp;" ISIN","CHG_PCT_1D")/100,"")</f>
        <v>-2.3084815321477367E-2</v>
      </c>
      <c r="W27" s="9" cm="1">
        <f t="array" ref="W27">IFERROR(_xll.BDP($G27&amp;" ISIN","CHG_PCT_5D")/100,"")</f>
        <v>-7.2877526308562215E-2</v>
      </c>
      <c r="X27" s="9" cm="1">
        <f t="array" ref="X27">_xll.BDP($G27&amp;" ISIN","CHG_PCT_1M")/100</f>
        <v>-8.9338483232174609E-2</v>
      </c>
      <c r="Y27" s="9" cm="1">
        <f t="array" ref="Y27">_xll.BDP($G27&amp;" ISIN","CHG_PCT_3M")/100</f>
        <v>-5.132397460625647E-2</v>
      </c>
      <c r="Z27" s="9" cm="1">
        <f t="array" ref="Z27">_xll.BDP($G27&amp;" ISIN","CHG_PCT_6M")/100</f>
        <v>-5.8455882352941052E-2</v>
      </c>
      <c r="AA27" s="9" cm="1">
        <f t="array" ref="AA27">_xll.BDP($G27&amp;" ISIN","CHG_PCT_YTD")/100</f>
        <v>-4.7711245031414148E-2</v>
      </c>
      <c r="AB27" s="9" t="e">
        <f t="shared" si="2"/>
        <v>#DIV/0!</v>
      </c>
      <c r="AC27" s="12">
        <f t="shared" ca="1" si="3"/>
        <v>35104.854166666628</v>
      </c>
      <c r="AD27" s="11" t="str">
        <f>_xll.BDP(AI27,"DS199")</f>
        <v>Government</v>
      </c>
      <c r="AE27" s="13">
        <f>_xll.BDP(AI27,"px_ask")</f>
        <v>74.722999999999999</v>
      </c>
      <c r="AF27" s="12">
        <f>IF(F27="USD",O27,(((_xll.BDP(F27&amp;"USD CURNCY","PX_LAST")))*O27))</f>
        <v>750000</v>
      </c>
      <c r="AG27" s="7">
        <f t="shared" si="4"/>
        <v>784565.25</v>
      </c>
      <c r="AH27" s="7">
        <f t="shared" si="5"/>
        <v>553604.99999999988</v>
      </c>
      <c r="AI27" s="11" t="str">
        <f t="shared" si="6"/>
        <v>XS2322321964 ISIN</v>
      </c>
      <c r="AJ27" s="11" t="e" cm="1">
        <f t="array" ref="AJ27">VLOOKUP(IF(NOT(_xll.BDP($G27&amp;" CORP",#REF!)="#N/A N/A"),(_xll.BDP($G27&amp;" CORP",#REF!)),"-"), '[1]Country Codes'!$A$2:$B$253,2,0)</f>
        <v>#REF!</v>
      </c>
      <c r="AK27" s="11" t="str" cm="1">
        <f t="array" ref="AK27">IF(OR(_xll.BDP($AI27,"EX028")= "#N/A N/A", _xll.BDP($AI27,"EX028")="#N/A FIELD NOT APPLICABLE"), " ", _xll.BDP($AI27,"EX028"))</f>
        <v>FixedIncome</v>
      </c>
      <c r="AL27" s="5" t="str">
        <f>(IF(_xll.BDP($AI27&amp;" ISIN","DZ282")="Y","Single line Bonds Cocos","Single line Bonds ex Cocos"))</f>
        <v>Single line Bonds ex Cocos</v>
      </c>
      <c r="AM27" s="6">
        <f>(IF(_xll.BDP($G27&amp;" ISIN","SP153")="#n/a n/a"," ",_xll.BDP($G27&amp;" ISIN","SP153")))</f>
        <v>864.55861664065765</v>
      </c>
      <c r="AN27" s="14">
        <f t="shared" ca="1" si="7"/>
        <v>45755</v>
      </c>
      <c r="AO27" s="7">
        <f>(((_xll.BDP(AI27,"DS032"))/360)*I27)*O27</f>
        <v>0</v>
      </c>
      <c r="AP27" s="7">
        <f>IF(F27="USD",AO27,(((_xll.BDP(F27&amp;"USD CURNCY","PX_LAST")))*AO27))</f>
        <v>0</v>
      </c>
      <c r="AQ27" s="9" t="e">
        <f>S27/$S$181</f>
        <v>#DIV/0!</v>
      </c>
      <c r="AR27" s="7">
        <f t="shared" si="8"/>
        <v>553604.99999999988</v>
      </c>
      <c r="AS27" s="13">
        <f>IF((TEXT(_xll.BDP(AI27,"MATURITY"),"DD/MM/YYYY")="#N/A Field Not Applicable"),"Perp",_xll.BDP(AI27,"DS252"))</f>
        <v>26.009582477754961</v>
      </c>
      <c r="AT27" s="5" t="str">
        <f>(IF(_xll.BDP($AI27&amp;" ISIN","DT247")="Y","Yes","No"))</f>
        <v>No</v>
      </c>
      <c r="AU27" s="5" t="str">
        <f>PROPER(IF(OR(_xll.BDP($AI27,"CPN_TYP")="#n/a N/A",_xll.BDP($AI27,"CPN_TYP")= "#N/A FIELD NOT APPLICABLE"), " ", _xll.BDP($AI27,"CPN_TYP")))</f>
        <v>Fixed</v>
      </c>
      <c r="BG27" s="27" t="str">
        <f t="shared" si="9"/>
        <v>XS2322321964</v>
      </c>
      <c r="BH27" s="36">
        <v>44316</v>
      </c>
    </row>
    <row r="28" spans="1:60 16381:16381" s="15" customFormat="1" ht="14.45" customHeight="1" x14ac:dyDescent="0.25">
      <c r="A28" s="16" t="s">
        <v>138</v>
      </c>
      <c r="B28" s="16" t="s">
        <v>119</v>
      </c>
      <c r="C28" s="16">
        <v>1000014769</v>
      </c>
      <c r="D28" s="16" t="s">
        <v>116</v>
      </c>
      <c r="E28" s="11" t="str">
        <f>_xll.BDP(AI28,"ds520")</f>
        <v>QIB Sukuk Ltd</v>
      </c>
      <c r="F28" s="11" t="str">
        <f>_xll.BDP(AI28,"crncy")</f>
        <v>USD</v>
      </c>
      <c r="G28" s="34" t="s">
        <v>122</v>
      </c>
      <c r="H28" s="11" t="str">
        <f>IF(_xll.BDP(AI28,"RTG_MOODY")="#N/A N/A","N/A",_xll.BDP(AI28,"RTG_MOODY"))&amp;","&amp;IF(_xll.BDP(AI28,"RTG_FITCH")="#N/A N/A","N/A",_xll.BDP(AI28,"RTG_FITCH"))&amp;","&amp;IF(_xll.BDP(AI28,"RTG_SP")="#N/A N/A","N/A",_xll.BDP(AI28,"RTG_SP"))</f>
        <v>N/A,A,N/A</v>
      </c>
      <c r="I28" s="5">
        <f>_xll.BDP(AI28,"cpn")/100</f>
        <v>4.4850000000000001E-2</v>
      </c>
      <c r="J28" s="5">
        <f ca="1">_xll.BDP($G28&amp;" isin","YAS_BOND_YLD", "YAS_YLD_FLAG=15", "user_local_trade_date",AN28,"Yas_bond_px",$Q28)/100</f>
        <v>4.6339559999999995E-2</v>
      </c>
      <c r="K28" s="11" t="str">
        <f>_xll.BDP(AI28,"PAYMENT_RANK")</f>
        <v>Sr Unsecured</v>
      </c>
      <c r="L28" s="11" t="str">
        <f>IF((TEXT(_xll.BDP(AI28,"MATURITY"),"DD/MM/YYYY")="#N/A Field Not Applicable"),"Perp",TEXT(_xll.BDP(AI28,"MATURITY"),"DD/MM/YYYY"))</f>
        <v>17/09/2029</v>
      </c>
      <c r="M28" s="6">
        <f>(IF(_xll.BDP($AI28&amp;" ISIN","DU003")="#n/a n/a"," ",_xll.BDP($AI28&amp;" ISIN","DU003")))</f>
        <v>4.0653605887061897</v>
      </c>
      <c r="N28" s="11" t="str">
        <f>IF(_xll.BDP(AI28,"CALLABLE")="Y",_xll.BDP(AI28,"NXT_CALL_DT")," ")</f>
        <v xml:space="preserve"> </v>
      </c>
      <c r="O28" s="35">
        <v>500000</v>
      </c>
      <c r="P28" s="34">
        <v>100.2</v>
      </c>
      <c r="Q28" s="13">
        <f>_xll.BDP(AI28,"px_bid")</f>
        <v>99.406000000000006</v>
      </c>
      <c r="R28" s="7">
        <f>IF(F28="USD",AG28,(((_xll.BDP(F28&amp;"USD CURNCY","PX_LAST")))*AG28))</f>
        <v>501000</v>
      </c>
      <c r="S28" s="7">
        <f>IF(F28="USD",AH28,(((_xll.BDP(F28&amp;"USD CURNCY","PX_LAST")))*AH28))+AP28</f>
        <v>498338.125</v>
      </c>
      <c r="T28" s="8">
        <f t="shared" si="0"/>
        <v>-3969.9999999999845</v>
      </c>
      <c r="U28" s="9">
        <f t="shared" si="1"/>
        <v>-7.9241516966067557E-3</v>
      </c>
      <c r="V28" s="9" cm="1">
        <f t="array" ref="V28">IFERROR(_xll.BDP($G28&amp;" ISIN","CHG_PCT_1D")/100,"")</f>
        <v>-1.521636397614877E-3</v>
      </c>
      <c r="W28" s="9" cm="1">
        <f t="array" ref="W28">IFERROR(_xll.BDP($G28&amp;" ISIN","CHG_PCT_5D")/100,"")</f>
        <v>1.9145047794172857E-3</v>
      </c>
      <c r="X28" s="9" cm="1">
        <f t="array" ref="X28">_xll.BDP($G28&amp;" ISIN","CHG_PCT_1M")/100</f>
        <v>1.0211005801832434E-2</v>
      </c>
      <c r="Y28" s="9" cm="1">
        <f t="array" ref="Y28">_xll.BDP($G28&amp;" ISIN","CHG_PCT_3M")/100</f>
        <v>7.0946943026633479E-3</v>
      </c>
      <c r="Z28" s="9" cm="1">
        <f t="array" ref="Z28">_xll.BDP($G28&amp;" ISIN","CHG_PCT_6M")/100</f>
        <v>-3.0058954012504805E-3</v>
      </c>
      <c r="AA28" s="9" cm="1">
        <f t="array" ref="AA28">_xll.BDP($G28&amp;" ISIN","CHG_PCT_YTD")/100</f>
        <v>4.8822130760931655E-3</v>
      </c>
      <c r="AB28" s="9" t="e">
        <f t="shared" si="2"/>
        <v>#DIV/0!</v>
      </c>
      <c r="AC28" s="12">
        <f t="shared" ca="1" si="3"/>
        <v>8675.2083333333485</v>
      </c>
      <c r="AD28" s="11" t="str">
        <f>_xll.BDP(AI28,"DS199")</f>
        <v>Financial</v>
      </c>
      <c r="AE28" s="13">
        <f>_xll.BDP(AI28,"px_ask")</f>
        <v>99.668000000000006</v>
      </c>
      <c r="AF28" s="12">
        <f>IF(F28="USD",O28,(((_xll.BDP(F28&amp;"USD CURNCY","PX_LAST")))*O28))</f>
        <v>500000</v>
      </c>
      <c r="AG28" s="7">
        <f t="shared" si="4"/>
        <v>501000</v>
      </c>
      <c r="AH28" s="7">
        <f t="shared" si="5"/>
        <v>497030</v>
      </c>
      <c r="AI28" s="11" t="str">
        <f t="shared" si="6"/>
        <v>XS2900444139 ISIN</v>
      </c>
      <c r="AJ28" s="11" t="e" cm="1">
        <f t="array" ref="AJ28">VLOOKUP(IF(NOT(_xll.BDP($G28&amp;" CORP",#REF!)="#N/A N/A"),(_xll.BDP($G28&amp;" CORP",#REF!)),"-"), '[1]Country Codes'!$A$2:$B$253,2,0)</f>
        <v>#REF!</v>
      </c>
      <c r="AK28" s="11" t="str" cm="1">
        <f t="array" ref="AK28">IF(OR(_xll.BDP($AI28,"EX028")= "#N/A N/A", _xll.BDP($AI28,"EX028")="#N/A FIELD NOT APPLICABLE"), " ", _xll.BDP($AI28,"EX028"))</f>
        <v>FixedIncome</v>
      </c>
      <c r="AL28" s="5" t="str">
        <f>(IF(_xll.BDP($AI28&amp;" ISIN","DZ282")="Y","Single line Bonds Cocos","Single line Bonds ex Cocos"))</f>
        <v>Single line Bonds ex Cocos</v>
      </c>
      <c r="AM28" s="6">
        <f>(IF(_xll.BDP($G28&amp;" ISIN","SP153")="#n/a n/a"," ",_xll.BDP($G28&amp;" ISIN","SP153")))</f>
        <v>135.15753962883778</v>
      </c>
      <c r="AN28" s="14">
        <f t="shared" ca="1" si="7"/>
        <v>45755</v>
      </c>
      <c r="AO28" s="7">
        <f>(((_xll.BDP(AI28,"DS032"))/360)*I28)*O28</f>
        <v>1308.125</v>
      </c>
      <c r="AP28" s="7">
        <f>IF(F28="USD",AO28,(((_xll.BDP(F28&amp;"USD CURNCY","PX_LAST")))*AO28))</f>
        <v>1308.125</v>
      </c>
      <c r="AQ28" s="9" t="e">
        <f>S28/$S$177</f>
        <v>#DIV/0!</v>
      </c>
      <c r="AR28" s="7">
        <f t="shared" si="8"/>
        <v>497030</v>
      </c>
      <c r="AS28" s="13">
        <f>IF((TEXT(_xll.BDP(AI28,"MATURITY"),"DD/MM/YYYY")="#N/A Field Not Applicable"),"Perp",_xll.BDP(AI28,"DS252"))</f>
        <v>4.4544832306639286</v>
      </c>
      <c r="AT28" s="5" t="str">
        <f>(IF(_xll.BDP($AI28&amp;" ISIN","DT247")="Y","Yes","No"))</f>
        <v>No</v>
      </c>
      <c r="AU28" s="5" t="str">
        <f>PROPER(IF(OR(_xll.BDP($AI28,"CPN_TYP")="#n/a N/A",_xll.BDP($AI28,"CPN_TYP")= "#N/A FIELD NOT APPLICABLE"), " ", _xll.BDP($AI28,"CPN_TYP")))</f>
        <v>Fixed</v>
      </c>
      <c r="BG28" s="27" t="str">
        <f t="shared" si="9"/>
        <v>XS2900444139</v>
      </c>
      <c r="BH28" s="36">
        <v>45552</v>
      </c>
    </row>
    <row r="29" spans="1:60 16381:16381" s="15" customFormat="1" ht="14.45" customHeight="1" x14ac:dyDescent="0.25">
      <c r="A29" s="16" t="s">
        <v>139</v>
      </c>
      <c r="B29" s="16" t="s">
        <v>105</v>
      </c>
      <c r="C29" s="16">
        <v>936730</v>
      </c>
      <c r="D29" s="16" t="s">
        <v>106</v>
      </c>
      <c r="E29" s="11" t="str">
        <f>_xll.BDP(AI29,"ds520")</f>
        <v>Romanian Government International Bond</v>
      </c>
      <c r="F29" s="11" t="str">
        <f>_xll.BDP(AI29,"crncy")</f>
        <v>USD</v>
      </c>
      <c r="G29" s="34" t="s">
        <v>108</v>
      </c>
      <c r="H29" s="11" t="str">
        <f>IF(_xll.BDP(AI29,"RTG_MOODY")="#N/A N/A","N/A",_xll.BDP(AI29,"RTG_MOODY"))&amp;","&amp;IF(_xll.BDP(AI29,"RTG_FITCH")="#N/A N/A","N/A",_xll.BDP(AI29,"RTG_FITCH"))&amp;","&amp;IF(_xll.BDP(AI29,"RTG_SP")="#N/A N/A","N/A",_xll.BDP(AI29,"RTG_SP"))</f>
        <v>Baa3,BBB-,BBB-</v>
      </c>
      <c r="I29" s="5">
        <f>_xll.BDP(AI29,"cpn")/100</f>
        <v>6.1249999999999999E-2</v>
      </c>
      <c r="J29" s="5">
        <f ca="1">_xll.BDP($G29&amp;" isin","YAS_BOND_YLD", "YAS_YLD_FLAG=15", "user_local_trade_date",AN29,"Yas_bond_px",$Q29)/100</f>
        <v>7.4669979999999997E-2</v>
      </c>
      <c r="K29" s="11" t="str">
        <f>_xll.BDP(AI29,"PAYMENT_RANK")</f>
        <v>Sr Unsecured</v>
      </c>
      <c r="L29" s="11" t="str">
        <f>IF((TEXT(_xll.BDP(AI29,"MATURITY"),"DD/MM/YYYY")="#N/A Field Not Applicable"),"Perp",TEXT(_xll.BDP(AI29,"MATURITY"),"DD/MM/YYYY"))</f>
        <v>22/01/2044</v>
      </c>
      <c r="M29" s="6">
        <f>(IF(_xll.BDP($AI29&amp;" ISIN","DU003")="#n/a n/a"," ",_xll.BDP($AI29&amp;" ISIN","DU003")))</f>
        <v>10.686081830851169</v>
      </c>
      <c r="N29" s="11" t="str">
        <f>IF(_xll.BDP(AI29,"CALLABLE")="Y",_xll.BDP(AI29,"NXT_CALL_DT")," ")</f>
        <v xml:space="preserve"> </v>
      </c>
      <c r="O29" s="35">
        <v>500000</v>
      </c>
      <c r="P29" s="34">
        <v>96.36</v>
      </c>
      <c r="Q29" s="13">
        <f>_xll.BDP(AI29,"px_bid")</f>
        <v>86.548000000000002</v>
      </c>
      <c r="R29" s="7">
        <f>IF(F29="USD",AG29,(((_xll.BDP(F29&amp;"USD CURNCY","PX_LAST")))*AG29))</f>
        <v>481800</v>
      </c>
      <c r="S29" s="7">
        <f>IF(F29="USD",AH29,(((_xll.BDP(F29&amp;"USD CURNCY","PX_LAST")))*AH29))+AP29</f>
        <v>439205.27777777775</v>
      </c>
      <c r="T29" s="8">
        <f t="shared" si="0"/>
        <v>-49059.999999999985</v>
      </c>
      <c r="U29" s="9">
        <f t="shared" si="1"/>
        <v>-0.10182648401826482</v>
      </c>
      <c r="V29" s="9" cm="1">
        <f t="array" ref="V29">IFERROR(_xll.BDP($G29&amp;" ISIN","CHG_PCT_1D")/100,"")</f>
        <v>-1.3684697232364705E-2</v>
      </c>
      <c r="W29" s="9" cm="1">
        <f t="array" ref="W29">IFERROR(_xll.BDP($G29&amp;" ISIN","CHG_PCT_5D")/100,"")</f>
        <v>-7.3942375366367443E-3</v>
      </c>
      <c r="X29" s="9" cm="1">
        <f t="array" ref="X29">_xll.BDP($G29&amp;" ISIN","CHG_PCT_1M")/100</f>
        <v>-1.7880855907346435E-2</v>
      </c>
      <c r="Y29" s="9" cm="1">
        <f t="array" ref="Y29">_xll.BDP($G29&amp;" ISIN","CHG_PCT_3M")/100</f>
        <v>-2.3643193696257992E-2</v>
      </c>
      <c r="Z29" s="9" cm="1">
        <f t="array" ref="Z29">_xll.BDP($G29&amp;" ISIN","CHG_PCT_6M")/100</f>
        <v>-0.12263769316596283</v>
      </c>
      <c r="AA29" s="9" cm="1">
        <f t="array" ref="AA29">_xll.BDP($G29&amp;" ISIN","CHG_PCT_YTD")/100</f>
        <v>-2.5485974553760327E-2</v>
      </c>
      <c r="AB29" s="9" t="e">
        <f t="shared" si="2"/>
        <v>#DIV/0!</v>
      </c>
      <c r="AC29" s="12">
        <f t="shared" ca="1" si="3"/>
        <v>-35023.541666666657</v>
      </c>
      <c r="AD29" s="11" t="str">
        <f>_xll.BDP(AI29,"DS199")</f>
        <v>Government</v>
      </c>
      <c r="AE29" s="13">
        <f>_xll.BDP(AI29,"px_ask")</f>
        <v>87.097999999999999</v>
      </c>
      <c r="AF29" s="12">
        <f>IF(F29="USD",O29,(((_xll.BDP(F29&amp;"USD CURNCY","PX_LAST")))*O29))</f>
        <v>500000</v>
      </c>
      <c r="AG29" s="7">
        <f t="shared" si="4"/>
        <v>481800</v>
      </c>
      <c r="AH29" s="7">
        <f t="shared" si="5"/>
        <v>432740</v>
      </c>
      <c r="AI29" s="11" t="str">
        <f t="shared" si="6"/>
        <v>US77586TAE64 ISIN</v>
      </c>
      <c r="AJ29" s="11" t="e" cm="1">
        <f t="array" ref="AJ29">VLOOKUP(IF(NOT(_xll.BDP($G29&amp;" CORP",#REF!)="#N/A N/A"),(_xll.BDP($G29&amp;" CORP",#REF!)),"-"), '[1]Country Codes'!$A$2:$B$253,2,0)</f>
        <v>#REF!</v>
      </c>
      <c r="AK29" s="11" t="str" cm="1">
        <f t="array" ref="AK29">IF(OR(_xll.BDP($AI29,"EX028")= "#N/A N/A", _xll.BDP($AI29,"EX028")="#N/A FIELD NOT APPLICABLE"), " ", _xll.BDP($AI29,"EX028"))</f>
        <v>FixedIncome</v>
      </c>
      <c r="AL29" s="5" t="str">
        <f>(IF(_xll.BDP($AI29&amp;" ISIN","DZ282")="Y","Single line Bonds Cocos","Single line Bonds ex Cocos"))</f>
        <v>Single line Bonds ex Cocos</v>
      </c>
      <c r="AM29" s="6">
        <f>(IF(_xll.BDP($G29&amp;" ISIN","SP153")="#n/a n/a"," ",_xll.BDP($G29&amp;" ISIN","SP153")))</f>
        <v>388.04439687619089</v>
      </c>
      <c r="AN29" s="14">
        <f t="shared" ca="1" si="7"/>
        <v>45755</v>
      </c>
      <c r="AO29" s="7">
        <f>(((_xll.BDP(AI29,"DS032"))/360)*I29)*O29</f>
        <v>6465.2777777777774</v>
      </c>
      <c r="AP29" s="7">
        <f>IF(F29="USD",AO29,(((_xll.BDP(F29&amp;"USD CURNCY","PX_LAST")))*AO29))</f>
        <v>6465.2777777777774</v>
      </c>
      <c r="AQ29" s="9" t="e">
        <f>S29/$S$181</f>
        <v>#DIV/0!</v>
      </c>
      <c r="AR29" s="7">
        <f t="shared" si="8"/>
        <v>432740</v>
      </c>
      <c r="AS29" s="13">
        <f>IF((TEXT(_xll.BDP(AI29,"MATURITY"),"DD/MM/YYYY")="#N/A Field Not Applicable"),"Perp",_xll.BDP(AI29,"DS252"))</f>
        <v>18.792607802874745</v>
      </c>
      <c r="AT29" s="5" t="str">
        <f>(IF(_xll.BDP($AI29&amp;" ISIN","DT247")="Y","Yes","No"))</f>
        <v>No</v>
      </c>
      <c r="AU29" s="5" t="str">
        <f>PROPER(IF(OR(_xll.BDP($AI29,"CPN_TYP")="#n/a N/A",_xll.BDP($AI29,"CPN_TYP")= "#N/A FIELD NOT APPLICABLE"), " ", _xll.BDP($AI29,"CPN_TYP")))</f>
        <v>Fixed</v>
      </c>
      <c r="BG29" s="27" t="str">
        <f t="shared" si="9"/>
        <v>US77586TAE64</v>
      </c>
      <c r="BH29" s="36">
        <v>45590</v>
      </c>
    </row>
    <row r="30" spans="1:60 16381:16381" s="15" customFormat="1" ht="14.45" customHeight="1" x14ac:dyDescent="0.25">
      <c r="A30" s="16" t="s">
        <v>138</v>
      </c>
      <c r="B30" s="16" t="s">
        <v>113</v>
      </c>
      <c r="C30" s="16" t="s">
        <v>114</v>
      </c>
      <c r="D30" s="16" t="s">
        <v>100</v>
      </c>
      <c r="E30" s="11" t="str">
        <f>_xll.BDP(AI30,"ds520")</f>
        <v>Saudi Electricity Global Sukuk Co 3</v>
      </c>
      <c r="F30" s="11" t="str">
        <f>_xll.BDP(AI30,"crncy")</f>
        <v>USD</v>
      </c>
      <c r="G30" s="34" t="s">
        <v>45</v>
      </c>
      <c r="H30" s="11" t="str">
        <f>IF(_xll.BDP(AI30,"RTG_MOODY")="#N/A N/A","N/A",_xll.BDP(AI30,"RTG_MOODY"))&amp;","&amp;IF(_xll.BDP(AI30,"RTG_FITCH")="#N/A N/A","N/A",_xll.BDP(AI30,"RTG_FITCH"))&amp;","&amp;IF(_xll.BDP(AI30,"RTG_SP")="#N/A N/A","N/A",_xll.BDP(AI30,"RTG_SP"))</f>
        <v>Aa3,A+,A+</v>
      </c>
      <c r="I30" s="5">
        <f>_xll.BDP(AI30,"cpn")/100</f>
        <v>5.5E-2</v>
      </c>
      <c r="J30" s="5">
        <f ca="1">_xll.BDP($G30&amp;" isin","YAS_BOND_YLD", "YAS_YLD_FLAG=15", "user_local_trade_date",AN30,"Yas_bond_px",$Q30)/100</f>
        <v>5.6297239999999998E-2</v>
      </c>
      <c r="K30" s="11" t="str">
        <f>_xll.BDP(AI30,"PAYMENT_RANK")</f>
        <v>Sr Unsecured</v>
      </c>
      <c r="L30" s="11" t="str">
        <f>IF((TEXT(_xll.BDP(AI30,"MATURITY"),"DD/MM/YYYY")="#N/A Field Not Applicable"),"Perp",TEXT(_xll.BDP(AI30,"MATURITY"),"DD/MM/YYYY"))</f>
        <v>08/04/2044</v>
      </c>
      <c r="M30" s="6">
        <f>(IF(_xll.BDP($AI30&amp;" ISIN","DU003")="#n/a n/a"," ",_xll.BDP($AI30&amp;" ISIN","DU003")))</f>
        <v>11.968599523208333</v>
      </c>
      <c r="N30" s="11" t="str">
        <f>IF(_xll.BDP(AI30,"CALLABLE")="Y",_xll.BDP(AI30,"NXT_CALL_DT")," ")</f>
        <v xml:space="preserve"> </v>
      </c>
      <c r="O30" s="35">
        <v>300000</v>
      </c>
      <c r="P30" s="34">
        <v>99</v>
      </c>
      <c r="Q30" s="13">
        <f>_xll.BDP(AI30,"px_bid")</f>
        <v>98.498000000000005</v>
      </c>
      <c r="R30" s="7">
        <f>IF(F30="USD",AG30,(((_xll.BDP(F30&amp;"USD CURNCY","PX_LAST")))*AG30))</f>
        <v>297000</v>
      </c>
      <c r="S30" s="7">
        <f>IF(F30="USD",AH30,(((_xll.BDP(F30&amp;"USD CURNCY","PX_LAST")))*AH30))+AP30</f>
        <v>295585.66666666669</v>
      </c>
      <c r="T30" s="8">
        <f t="shared" si="0"/>
        <v>-1505.9999999999859</v>
      </c>
      <c r="U30" s="9">
        <f t="shared" si="1"/>
        <v>-5.0707070707070234E-3</v>
      </c>
      <c r="V30" s="9" cm="1">
        <f t="array" ref="V30">IFERROR(_xll.BDP($G30&amp;" ISIN","CHG_PCT_1D")/100,"")</f>
        <v>-5.4841634404465258E-3</v>
      </c>
      <c r="W30" s="9" cm="1">
        <f t="array" ref="W30">IFERROR(_xll.BDP($G30&amp;" ISIN","CHG_PCT_5D")/100,"")</f>
        <v>-7.087530611273137E-3</v>
      </c>
      <c r="X30" s="9" cm="1">
        <f t="array" ref="X30">_xll.BDP($G30&amp;" ISIN","CHG_PCT_1M")/100</f>
        <v>-8.8502532497289031E-3</v>
      </c>
      <c r="Y30" s="9" cm="1">
        <f t="array" ref="Y30">_xll.BDP($G30&amp;" ISIN","CHG_PCT_3M")/100</f>
        <v>1.4293849009643179E-2</v>
      </c>
      <c r="Z30" s="9" cm="1">
        <f t="array" ref="Z30">_xll.BDP($G30&amp;" ISIN","CHG_PCT_6M")/100</f>
        <v>-2.4122964642136414E-2</v>
      </c>
      <c r="AA30" s="9" cm="1">
        <f t="array" ref="AA30">_xll.BDP($G30&amp;" ISIN","CHG_PCT_YTD")/100</f>
        <v>9.8503223433493905E-3</v>
      </c>
      <c r="AB30" s="9" t="e">
        <f t="shared" si="2"/>
        <v>#DIV/0!</v>
      </c>
      <c r="AC30" s="12">
        <f t="shared" ca="1" si="3"/>
        <v>12931.500000000015</v>
      </c>
      <c r="AD30" s="11" t="str">
        <f>_xll.BDP(AI30,"DS199")</f>
        <v>Utilities</v>
      </c>
      <c r="AE30" s="13">
        <f>_xll.BDP(AI30,"px_ask")</f>
        <v>99.188000000000002</v>
      </c>
      <c r="AF30" s="12">
        <f>IF(F30="USD",O30,(((_xll.BDP(F30&amp;"USD CURNCY","PX_LAST")))*O30))</f>
        <v>300000</v>
      </c>
      <c r="AG30" s="7">
        <f t="shared" si="4"/>
        <v>297000</v>
      </c>
      <c r="AH30" s="7">
        <f t="shared" si="5"/>
        <v>295494</v>
      </c>
      <c r="AI30" s="11" t="str">
        <f t="shared" si="6"/>
        <v>XS1054250318 ISIN</v>
      </c>
      <c r="AJ30" s="11" t="e" cm="1">
        <f t="array" ref="AJ30">VLOOKUP(IF(NOT(_xll.BDP($G30&amp;" CORP",#REF!)="#N/A N/A"),(_xll.BDP($G30&amp;" CORP",#REF!)),"-"), '[1]Country Codes'!$A$2:$B$253,2,0)</f>
        <v>#REF!</v>
      </c>
      <c r="AK30" s="11" t="str" cm="1">
        <f t="array" ref="AK30">IF(OR(_xll.BDP($AI30,"EX028")= "#N/A N/A", _xll.BDP($AI30,"EX028")="#N/A FIELD NOT APPLICABLE"), " ", _xll.BDP($AI30,"EX028"))</f>
        <v>FixedIncome</v>
      </c>
      <c r="AL30" s="5" t="str">
        <f>(IF(_xll.BDP($AI30&amp;" ISIN","DZ282")="Y","Single line Bonds Cocos","Single line Bonds ex Cocos"))</f>
        <v>Single line Bonds ex Cocos</v>
      </c>
      <c r="AM30" s="6">
        <f>(IF(_xll.BDP($G30&amp;" ISIN","SP153")="#n/a n/a"," ",_xll.BDP($G30&amp;" ISIN","SP153")))</f>
        <v>174.59903299126034</v>
      </c>
      <c r="AN30" s="14">
        <f t="shared" ca="1" si="7"/>
        <v>45755</v>
      </c>
      <c r="AO30" s="7">
        <f>(((_xll.BDP(AI30,"DS032"))/360)*I30)*O30</f>
        <v>91.666666666666671</v>
      </c>
      <c r="AP30" s="7">
        <f>IF(F30="USD",AO30,(((_xll.BDP(F30&amp;"USD CURNCY","PX_LAST")))*AO30))</f>
        <v>91.666666666666671</v>
      </c>
      <c r="AQ30" s="9" t="e">
        <f>S30/$S$181</f>
        <v>#DIV/0!</v>
      </c>
      <c r="AR30" s="7">
        <f t="shared" si="8"/>
        <v>295494</v>
      </c>
      <c r="AS30" s="13">
        <f>IF((TEXT(_xll.BDP(AI30,"MATURITY"),"DD/MM/YYYY")="#N/A Field Not Applicable"),"Perp",_xll.BDP(AI30,"DS252"))</f>
        <v>19.000684462696782</v>
      </c>
      <c r="AT30" s="5" t="str">
        <f>(IF(_xll.BDP($AI30&amp;" ISIN","DT247")="Y","Yes","No"))</f>
        <v>No</v>
      </c>
      <c r="AU30" s="5" t="str">
        <f>PROPER(IF(OR(_xll.BDP($AI30,"CPN_TYP")="#n/a N/A",_xll.BDP($AI30,"CPN_TYP")= "#N/A FIELD NOT APPLICABLE"), " ", _xll.BDP($AI30,"CPN_TYP")))</f>
        <v>Fixed</v>
      </c>
      <c r="BG30" s="27" t="str">
        <f t="shared" si="9"/>
        <v>XS1054250318</v>
      </c>
      <c r="BH30" s="36">
        <v>45440</v>
      </c>
    </row>
    <row r="31" spans="1:60 16381:16381" s="15" customFormat="1" ht="14.45" customHeight="1" x14ac:dyDescent="0.25">
      <c r="A31" s="16" t="s">
        <v>139</v>
      </c>
      <c r="B31" s="16" t="s">
        <v>103</v>
      </c>
      <c r="C31" s="16">
        <v>4389270</v>
      </c>
      <c r="D31" s="16" t="s">
        <v>104</v>
      </c>
      <c r="E31" s="11" t="str">
        <f>_xll.BDP(AI31,"ds520")</f>
        <v>Saudi Electricity Sukuk Programme Co</v>
      </c>
      <c r="F31" s="11" t="str">
        <f>_xll.BDP(AI31,"crncy")</f>
        <v>USD</v>
      </c>
      <c r="G31" s="34" t="s">
        <v>56</v>
      </c>
      <c r="H31" s="11" t="str">
        <f>IF(_xll.BDP(AI31,"RTG_MOODY")="#N/A N/A","N/A",_xll.BDP(AI31,"RTG_MOODY"))&amp;","&amp;IF(_xll.BDP(AI31,"RTG_FITCH")="#N/A N/A","N/A",_xll.BDP(AI31,"RTG_FITCH"))&amp;","&amp;IF(_xll.BDP(AI31,"RTG_SP")="#N/A N/A","N/A",_xll.BDP(AI31,"RTG_SP"))</f>
        <v>Aa3,A+,N/A</v>
      </c>
      <c r="I31" s="5">
        <f>_xll.BDP(AI31,"cpn")/100</f>
        <v>5.6840000000000002E-2</v>
      </c>
      <c r="J31" s="5">
        <f ca="1">_xll.BDP($G31&amp;" isin","YAS_BOND_YLD", "YAS_YLD_FLAG=15", "user_local_trade_date",AN31,"Yas_bond_px",$Q31)/100</f>
        <v>5.8945449999999996E-2</v>
      </c>
      <c r="K31" s="11" t="str">
        <f>_xll.BDP(AI31,"PAYMENT_RANK")</f>
        <v>Sr Unsecured</v>
      </c>
      <c r="L31" s="11" t="str">
        <f>IF((TEXT(_xll.BDP(AI31,"MATURITY"),"DD/MM/YYYY")="#N/A Field Not Applicable"),"Perp",TEXT(_xll.BDP(AI31,"MATURITY"),"DD/MM/YYYY"))</f>
        <v>11/04/2053</v>
      </c>
      <c r="M31" s="6">
        <f>(IF(_xll.BDP($AI31&amp;" ISIN","DU003")="#n/a n/a"," ",_xll.BDP($AI31&amp;" ISIN","DU003")))</f>
        <v>13.76468834594753</v>
      </c>
      <c r="N31" s="11" t="str">
        <f>IF(_xll.BDP(AI31,"CALLABLE")="Y",_xll.BDP(AI31,"NXT_CALL_DT")," ")</f>
        <v xml:space="preserve"> </v>
      </c>
      <c r="O31" s="35">
        <v>300000</v>
      </c>
      <c r="P31" s="34">
        <v>99.05</v>
      </c>
      <c r="Q31" s="13">
        <f>_xll.BDP(AI31,"px_bid")</f>
        <v>97.13</v>
      </c>
      <c r="R31" s="7">
        <f>IF(F31="USD",AG31,(((_xll.BDP(F31&amp;"USD CURNCY","PX_LAST")))*AG31))</f>
        <v>297150</v>
      </c>
      <c r="S31" s="7">
        <f>IFERROR(IF(F31="USD",AH31,(((_xll.BDP(F31&amp;"USD CURNCY","PX_LAST")))*AH31))+AP31,0)</f>
        <v>299868.63333333336</v>
      </c>
      <c r="T31" s="8">
        <f t="shared" si="0"/>
        <v>-5760.0000000000055</v>
      </c>
      <c r="U31" s="9">
        <f t="shared" si="1"/>
        <v>-1.9384149419485127E-2</v>
      </c>
      <c r="V31" s="9" cm="1">
        <f t="array" ref="V31">IFERROR(_xll.BDP($G31&amp;" ISIN","CHG_PCT_1D")/100,"")</f>
        <v>-1.033472294069317E-2</v>
      </c>
      <c r="W31" s="9" cm="1">
        <f t="array" ref="W31">IFERROR(_xll.BDP($G31&amp;" ISIN","CHG_PCT_5D")/100,"")</f>
        <v>-1.4991356324178468E-2</v>
      </c>
      <c r="X31" s="9" cm="1">
        <f t="array" ref="X31">_xll.BDP($G31&amp;" ISIN","CHG_PCT_1M")/100</f>
        <v>-1.3906858822385593E-2</v>
      </c>
      <c r="Y31" s="9" cm="1">
        <f t="array" ref="Y31">_xll.BDP($G31&amp;" ISIN","CHG_PCT_3M")/100</f>
        <v>1.5603765713372139E-2</v>
      </c>
      <c r="Z31" s="9" cm="1">
        <f t="array" ref="Z31">_xll.BDP($G31&amp;" ISIN","CHG_PCT_6M")/100</f>
        <v>-2.5519923535809591E-2</v>
      </c>
      <c r="AA31" s="9" cm="1">
        <f t="array" ref="AA31">_xll.BDP($G31&amp;" ISIN","CHG_PCT_YTD")/100</f>
        <v>5.3662405877754234E-3</v>
      </c>
      <c r="AB31" s="9" t="e">
        <f t="shared" si="2"/>
        <v>#DIV/0!</v>
      </c>
      <c r="AC31" s="12">
        <f t="shared" ca="1" si="3"/>
        <v>2150.233333333329</v>
      </c>
      <c r="AD31" s="11" t="str">
        <f>_xll.BDP(AI31,"DS199")</f>
        <v>Utilities</v>
      </c>
      <c r="AE31" s="13">
        <f>_xll.BDP(AI31,"px_ask")</f>
        <v>98.013999999999996</v>
      </c>
      <c r="AF31" s="12">
        <f>IF(F31="USD",O31,(((_xll.BDP(F31&amp;"USD CURNCY","PX_LAST")))*O31))</f>
        <v>300000</v>
      </c>
      <c r="AG31" s="7">
        <f t="shared" si="4"/>
        <v>297150</v>
      </c>
      <c r="AH31" s="7">
        <f t="shared" si="5"/>
        <v>291390</v>
      </c>
      <c r="AI31" s="11" t="str">
        <f t="shared" si="6"/>
        <v>XS2608638602 ISIN</v>
      </c>
      <c r="AJ31" s="11" t="e" cm="1">
        <f t="array" ref="AJ31">VLOOKUP(IF(NOT(_xll.BDP($G31&amp;" CORP",#REF!)="#N/A N/A"),(_xll.BDP($G31&amp;" CORP",#REF!)),"-"), '[1]Country Codes'!$A$2:$B$253,2,0)</f>
        <v>#REF!</v>
      </c>
      <c r="AK31" s="11" t="str" cm="1">
        <f t="array" ref="AK31">IF(OR(_xll.BDP($AI31,"EX028")= "#N/A N/A", _xll.BDP($AI31,"EX028")="#N/A FIELD NOT APPLICABLE"), " ", _xll.BDP($AI31,"EX028"))</f>
        <v>FixedIncome</v>
      </c>
      <c r="AL31" s="5" t="str">
        <f>(IF(_xll.BDP($AI31&amp;" ISIN","DZ282")="Y","Single line Bonds Cocos","Single line Bonds ex Cocos"))</f>
        <v>Single line Bonds ex Cocos</v>
      </c>
      <c r="AM31" s="6">
        <f>(IF(_xll.BDP($G31&amp;" ISIN","SP153")="#n/a n/a"," ",_xll.BDP($G31&amp;" ISIN","SP153")))</f>
        <v>206.26697693540407</v>
      </c>
      <c r="AN31" s="14">
        <f t="shared" ca="1" si="7"/>
        <v>45755</v>
      </c>
      <c r="AO31" s="7">
        <f>(((_xll.BDP(AI31,"DS032"))/360)*I31)*O31</f>
        <v>8478.6333333333332</v>
      </c>
      <c r="AP31" s="7">
        <f>IF(F31="USD",AO31,(((_xll.BDP(F31&amp;"USD CURNCY","PX_LAST")))*AO31))</f>
        <v>8478.6333333333332</v>
      </c>
      <c r="AQ31" s="9" t="e">
        <f>S31/$S$165</f>
        <v>#DIV/0!</v>
      </c>
      <c r="AR31" s="7">
        <f t="shared" si="8"/>
        <v>291390</v>
      </c>
      <c r="AS31" s="13">
        <f>IF((TEXT(_xll.BDP(AI31,"MATURITY"),"DD/MM/YYYY")="#N/A Field Not Applicable"),"Perp",_xll.BDP(AI31,"DS252"))</f>
        <v>28.008213552361397</v>
      </c>
      <c r="AT31" s="5" t="str">
        <f>(IF(_xll.BDP($AI31&amp;" ISIN","DT247")="Y","Yes","No"))</f>
        <v>No</v>
      </c>
      <c r="AU31" s="5" t="str">
        <f>PROPER(IF(OR(_xll.BDP($AI31,"CPN_TYP")="#n/a N/A",_xll.BDP($AI31,"CPN_TYP")= "#N/A FIELD NOT APPLICABLE"), " ", _xll.BDP($AI31,"CPN_TYP")))</f>
        <v>Fixed</v>
      </c>
      <c r="BG31" s="27" t="str">
        <f t="shared" si="9"/>
        <v>XS2608638602</v>
      </c>
      <c r="BH31" s="36">
        <v>45588</v>
      </c>
    </row>
    <row r="32" spans="1:60 16381:16381" s="15" customFormat="1" ht="14.45" customHeight="1" x14ac:dyDescent="0.25">
      <c r="A32" s="16" t="s">
        <v>139</v>
      </c>
      <c r="B32" s="16" t="s">
        <v>105</v>
      </c>
      <c r="C32" s="16">
        <v>936730</v>
      </c>
      <c r="D32" s="16" t="s">
        <v>106</v>
      </c>
      <c r="E32" s="11" t="str">
        <f>_xll.BDP(AI32,"ds520")</f>
        <v>Saudi Government International Bond</v>
      </c>
      <c r="F32" s="11" t="str">
        <f>_xll.BDP(AI32,"crncy")</f>
        <v>USD</v>
      </c>
      <c r="G32" s="34" t="s">
        <v>84</v>
      </c>
      <c r="H32" s="11" t="str">
        <f>IF(_xll.BDP(AI32,"RTG_MOODY")="#N/A N/A","N/A",_xll.BDP(AI32,"RTG_MOODY"))&amp;","&amp;IF(_xll.BDP(AI32,"RTG_FITCH")="#N/A N/A","N/A",_xll.BDP(AI32,"RTG_FITCH"))&amp;","&amp;IF(_xll.BDP(AI32,"RTG_SP")="#N/A N/A","N/A",_xll.BDP(AI32,"RTG_SP"))</f>
        <v>Aa3,A+,N/A</v>
      </c>
      <c r="I32" s="5">
        <f>_xll.BDP(AI32,"cpn")/100</f>
        <v>5.7500000000000002E-2</v>
      </c>
      <c r="J32" s="5">
        <f ca="1">_xll.BDP($G32&amp;" isin","YAS_BOND_YLD", "YAS_YLD_FLAG=15", "user_local_trade_date",AN32,"Yas_bond_px",$Q32)/100</f>
        <v>6.2900310000000001E-2</v>
      </c>
      <c r="K32" s="11" t="str">
        <f>_xll.BDP(AI32,"PAYMENT_RANK")</f>
        <v>Sr Unsecured</v>
      </c>
      <c r="L32" s="11" t="str">
        <f>IF((TEXT(_xll.BDP(AI32,"MATURITY"),"DD/MM/YYYY")="#N/A Field Not Applicable"),"Perp",TEXT(_xll.BDP(AI32,"MATURITY"),"DD/MM/YYYY"))</f>
        <v>16/01/2054</v>
      </c>
      <c r="M32" s="6">
        <f>(IF(_xll.BDP($AI32&amp;" ISIN","DU003")="#n/a n/a"," ",_xll.BDP($AI32&amp;" ISIN","DU003")))</f>
        <v>13.70485458726578</v>
      </c>
      <c r="N32" s="11" t="str">
        <f>IF(_xll.BDP(AI32,"CALLABLE")="Y",_xll.BDP(AI32,"NXT_CALL_DT")," ")</f>
        <v xml:space="preserve"> </v>
      </c>
      <c r="O32" s="35">
        <v>600000</v>
      </c>
      <c r="P32" s="34">
        <v>98.04</v>
      </c>
      <c r="Q32" s="13">
        <f>_xll.BDP(AI32,"px_bid")</f>
        <v>92.849000000000004</v>
      </c>
      <c r="R32" s="7">
        <f>IF(F32="USD",AG32,(((_xll.BDP(F32&amp;"USD CURNCY","PX_LAST")))*AG32))</f>
        <v>588240.00000000012</v>
      </c>
      <c r="S32" s="7">
        <f>IF(F32="USD",AH32,(((_xll.BDP(F32&amp;"USD CURNCY","PX_LAST")))*AH32))+AP32</f>
        <v>565144</v>
      </c>
      <c r="T32" s="8">
        <f t="shared" si="0"/>
        <v>-31146.000000000018</v>
      </c>
      <c r="U32" s="9">
        <f t="shared" si="1"/>
        <v>-5.2947776417788681E-2</v>
      </c>
      <c r="V32" s="9" cm="1">
        <f t="array" ref="V32">IFERROR(_xll.BDP($G32&amp;" ISIN","CHG_PCT_1D")/100,"")</f>
        <v>2.5604062224325961E-3</v>
      </c>
      <c r="W32" s="9" cm="1">
        <f t="array" ref="W32">IFERROR(_xll.BDP($G32&amp;" ISIN","CHG_PCT_5D")/100,"")</f>
        <v>-3.513966827490532E-2</v>
      </c>
      <c r="X32" s="9" cm="1">
        <f t="array" ref="X32">_xll.BDP($G32&amp;" ISIN","CHG_PCT_1M")/100</f>
        <v>-3.5898284744780913E-2</v>
      </c>
      <c r="Y32" s="9" cm="1">
        <f t="array" ref="Y32">_xll.BDP($G32&amp;" ISIN","CHG_PCT_3M")/100</f>
        <v>1.4445109671800993E-2</v>
      </c>
      <c r="Z32" s="9" cm="1">
        <f t="array" ref="Z32">_xll.BDP($G32&amp;" ISIN","CHG_PCT_6M")/100</f>
        <v>-6.4694192978582588E-2</v>
      </c>
      <c r="AA32" s="9" cm="1">
        <f t="array" ref="AA32">_xll.BDP($G32&amp;" ISIN","CHG_PCT_YTD")/100</f>
        <v>-1.1575562700965069E-3</v>
      </c>
      <c r="AB32" s="9" t="e">
        <f t="shared" si="2"/>
        <v>#DIV/0!</v>
      </c>
      <c r="AC32" s="12">
        <f t="shared" ca="1" si="3"/>
        <v>-15333.500000000015</v>
      </c>
      <c r="AD32" s="11" t="str">
        <f>_xll.BDP(AI32,"DS199")</f>
        <v>Government</v>
      </c>
      <c r="AE32" s="13">
        <f>_xll.BDP(AI32,"px_ask")</f>
        <v>93.534999999999997</v>
      </c>
      <c r="AF32" s="12">
        <f>IF(F32="USD",O32,(((_xll.BDP(F32&amp;"USD CURNCY","PX_LAST")))*O32))</f>
        <v>600000</v>
      </c>
      <c r="AG32" s="7">
        <f t="shared" si="4"/>
        <v>588240.00000000012</v>
      </c>
      <c r="AH32" s="7">
        <f t="shared" si="5"/>
        <v>557094</v>
      </c>
      <c r="AI32" s="11" t="str">
        <f t="shared" si="6"/>
        <v>XS2747599509 ISIN</v>
      </c>
      <c r="AJ32" s="11" t="e" cm="1">
        <f t="array" ref="AJ32">VLOOKUP(IF(NOT(_xll.BDP($G32&amp;" CORP",#REF!)="#N/A N/A"),(_xll.BDP($G32&amp;" CORP",#REF!)),"-"), '[1]Country Codes'!$A$2:$B$253,2,0)</f>
        <v>#REF!</v>
      </c>
      <c r="AK32" s="11" t="str" cm="1">
        <f t="array" ref="AK32">IF(OR(_xll.BDP($AI32,"EX028")= "#N/A N/A", _xll.BDP($AI32,"EX028")="#N/A FIELD NOT APPLICABLE"), " ", _xll.BDP($AI32,"EX028"))</f>
        <v>FixedIncome</v>
      </c>
      <c r="AL32" s="5" t="str">
        <f>(IF(_xll.BDP($AI32&amp;" ISIN","DZ282")="Y","Single line Bonds Cocos","Single line Bonds ex Cocos"))</f>
        <v>Single line Bonds ex Cocos</v>
      </c>
      <c r="AM32" s="6">
        <f>(IF(_xll.BDP($G32&amp;" ISIN","SP153")="#n/a n/a"," ",_xll.BDP($G32&amp;" ISIN","SP153")))</f>
        <v>247.09037125427869</v>
      </c>
      <c r="AN32" s="14">
        <f t="shared" ca="1" si="7"/>
        <v>45755</v>
      </c>
      <c r="AO32" s="7">
        <f>(((_xll.BDP(AI32,"DS032"))/360)*I32)*O32</f>
        <v>8050</v>
      </c>
      <c r="AP32" s="7">
        <f>IF(F32="USD",AO32,(((_xll.BDP(F32&amp;"USD CURNCY","PX_LAST")))*AO32))</f>
        <v>8050</v>
      </c>
      <c r="AQ32" s="9" t="e">
        <f>S32/$S$181</f>
        <v>#DIV/0!</v>
      </c>
      <c r="AR32" s="7">
        <f t="shared" si="8"/>
        <v>557094</v>
      </c>
      <c r="AS32" s="13">
        <f>IF((TEXT(_xll.BDP(AI32,"MATURITY"),"DD/MM/YYYY")="#N/A Field Not Applicable"),"Perp",_xll.BDP(AI32,"DS252"))</f>
        <v>28.774811772758383</v>
      </c>
      <c r="AT32" s="5" t="str">
        <f>(IF(_xll.BDP($AI32&amp;" ISIN","DT247")="Y","Yes","No"))</f>
        <v>No</v>
      </c>
      <c r="AU32" s="5" t="str">
        <f>PROPER(IF(OR(_xll.BDP($AI32,"CPN_TYP")="#n/a N/A",_xll.BDP($AI32,"CPN_TYP")= "#N/A FIELD NOT APPLICABLE"), " ", _xll.BDP($AI32,"CPN_TYP")))</f>
        <v>Fixed</v>
      </c>
      <c r="BG32" s="27" t="str">
        <f t="shared" si="9"/>
        <v>XS2747599509</v>
      </c>
      <c r="BH32" s="36">
        <v>45590</v>
      </c>
    </row>
    <row r="33" spans="1:61" s="15" customFormat="1" ht="14.45" customHeight="1" x14ac:dyDescent="0.25">
      <c r="A33" s="16" t="s">
        <v>139</v>
      </c>
      <c r="B33" s="16" t="s">
        <v>105</v>
      </c>
      <c r="C33" s="16">
        <v>936730</v>
      </c>
      <c r="D33" s="16" t="s">
        <v>106</v>
      </c>
      <c r="E33" s="11" t="str">
        <f>_xll.BDP(AI33,"ds520")</f>
        <v>Societe Generale SA</v>
      </c>
      <c r="F33" s="11" t="str">
        <f>_xll.BDP(AI33,"crncy")</f>
        <v>USD</v>
      </c>
      <c r="G33" s="34" t="s">
        <v>110</v>
      </c>
      <c r="H33" s="11" t="str">
        <f>IF(_xll.BDP(AI33,"RTG_MOODY")="#N/A N/A","N/A",_xll.BDP(AI33,"RTG_MOODY"))&amp;","&amp;IF(_xll.BDP(AI33,"RTG_FITCH")="#N/A N/A","N/A",_xll.BDP(AI33,"RTG_FITCH"))&amp;","&amp;IF(_xll.BDP(AI33,"RTG_SP")="#N/A N/A","N/A",_xll.BDP(AI33,"RTG_SP"))</f>
        <v>Baa3,BBB,BBB-</v>
      </c>
      <c r="I33" s="5">
        <f>_xll.BDP(AI33,"cpn")/100</f>
        <v>7.3669999999999999E-2</v>
      </c>
      <c r="J33" s="5">
        <f ca="1">_xll.BDP($G33&amp;" isin","YAS_BOND_YLD", "YAS_YLD_FLAG=15", "user_local_trade_date",AN33,"Yas_bond_px",$Q33)/100</f>
        <v>7.2667369999999995E-2</v>
      </c>
      <c r="K33" s="11" t="str">
        <f>_xll.BDP(AI33,"PAYMENT_RANK")</f>
        <v>Subordinated</v>
      </c>
      <c r="L33" s="11" t="str">
        <f>IF((TEXT(_xll.BDP(AI33,"MATURITY"),"DD/MM/YYYY")="#N/A Field Not Applicable"),"Perp",TEXT(_xll.BDP(AI33,"MATURITY"),"DD/MM/YYYY"))</f>
        <v>10/01/2053</v>
      </c>
      <c r="M33" s="6">
        <f>(IF(_xll.BDP($AI33&amp;" ISIN","DU003")="#n/a n/a"," ",_xll.BDP($AI33&amp;" ISIN","DU003")))</f>
        <v>12.071083624064441</v>
      </c>
      <c r="N33" s="11" t="str">
        <f>IF(_xll.BDP(AI33,"CALLABLE")="Y",_xll.BDP(AI33,"NXT_CALL_DT")," ")</f>
        <v xml:space="preserve"> </v>
      </c>
      <c r="O33" s="35">
        <v>600000</v>
      </c>
      <c r="P33" s="34">
        <v>103.35</v>
      </c>
      <c r="Q33" s="13">
        <f>_xll.BDP(AI33,"px_bid")</f>
        <v>101.173</v>
      </c>
      <c r="R33" s="7">
        <f>IF(F33="USD",AG33,(((_xll.BDP(F33&amp;"USD CURNCY","PX_LAST")))*AG33))</f>
        <v>620100</v>
      </c>
      <c r="S33" s="7">
        <f>IF(F33="USD",AH33,(((_xll.BDP(F33&amp;"USD CURNCY","PX_LAST")))*AH33))+AP33</f>
        <v>617842.93333333335</v>
      </c>
      <c r="T33" s="8">
        <f t="shared" si="0"/>
        <v>-13061.999999999956</v>
      </c>
      <c r="U33" s="9">
        <f t="shared" si="1"/>
        <v>-2.1064344460570806E-2</v>
      </c>
      <c r="V33" s="9" cm="1">
        <f t="array" ref="V33">IFERROR(_xll.BDP($G33&amp;" ISIN","CHG_PCT_1D")/100,"")</f>
        <v>-9.1794309450281154E-3</v>
      </c>
      <c r="W33" s="9" cm="1">
        <f t="array" ref="W33">IFERROR(_xll.BDP($G33&amp;" ISIN","CHG_PCT_5D")/100,"")</f>
        <v>-3.1275553316096414E-3</v>
      </c>
      <c r="X33" s="9" cm="1">
        <f t="array" ref="X33">_xll.BDP($G33&amp;" ISIN","CHG_PCT_1M")/100</f>
        <v>-1.4464601616428012E-2</v>
      </c>
      <c r="Y33" s="9" cm="1">
        <f t="array" ref="Y33">_xll.BDP($G33&amp;" ISIN","CHG_PCT_3M")/100</f>
        <v>4.4609283107731684E-2</v>
      </c>
      <c r="Z33" s="9" cm="1">
        <f t="array" ref="Z33">_xll.BDP($G33&amp;" ISIN","CHG_PCT_6M")/100</f>
        <v>-1.2208901430649175E-2</v>
      </c>
      <c r="AA33" s="9" cm="1">
        <f t="array" ref="AA33">_xll.BDP($G33&amp;" ISIN","CHG_PCT_YTD")/100</f>
        <v>3.9046106685607485E-2</v>
      </c>
      <c r="AB33" s="9" t="e">
        <f t="shared" si="2"/>
        <v>#DIV/0!</v>
      </c>
      <c r="AC33" s="12">
        <f t="shared" ca="1" si="3"/>
        <v>7197.2500000000455</v>
      </c>
      <c r="AD33" s="11" t="str">
        <f>_xll.BDP(AI33,"DS199")</f>
        <v>Financial</v>
      </c>
      <c r="AE33" s="13">
        <f>_xll.BDP(AI33,"px_ask")</f>
        <v>101.639</v>
      </c>
      <c r="AF33" s="12">
        <f>IF(F33="USD",O33,(((_xll.BDP(F33&amp;"USD CURNCY","PX_LAST")))*O33))</f>
        <v>600000</v>
      </c>
      <c r="AG33" s="7">
        <f t="shared" si="4"/>
        <v>620100</v>
      </c>
      <c r="AH33" s="7">
        <f t="shared" si="5"/>
        <v>607038</v>
      </c>
      <c r="AI33" s="11" t="str">
        <f t="shared" si="6"/>
        <v>US83368TBT43 ISIN</v>
      </c>
      <c r="AJ33" s="11" t="e" cm="1">
        <f t="array" ref="AJ33">VLOOKUP(IF(NOT(_xll.BDP($G33&amp;" CORP",#REF!)="#N/A N/A"),(_xll.BDP($G33&amp;" CORP",#REF!)),"-"), '[1]Country Codes'!$A$2:$B$253,2,0)</f>
        <v>#REF!</v>
      </c>
      <c r="AK33" s="11" t="str" cm="1">
        <f t="array" ref="AK33">IF(OR(_xll.BDP($AI33,"EX028")= "#N/A N/A", _xll.BDP($AI33,"EX028")="#N/A FIELD NOT APPLICABLE"), " ", _xll.BDP($AI33,"EX028"))</f>
        <v>FixedIncome</v>
      </c>
      <c r="AL33" s="5" t="str">
        <f>(IF(_xll.BDP($AI33&amp;" ISIN","DZ282")="Y","Single line Bonds Cocos","Single line Bonds ex Cocos"))</f>
        <v>Single line Bonds ex Cocos</v>
      </c>
      <c r="AM33" s="6">
        <f>(IF(_xll.BDP($G33&amp;" ISIN","SP153")="#n/a n/a"," ",_xll.BDP($G33&amp;" ISIN","SP153")))</f>
        <v>372.1233886744248</v>
      </c>
      <c r="AN33" s="14">
        <f t="shared" ca="1" si="7"/>
        <v>45755</v>
      </c>
      <c r="AO33" s="7">
        <f>(((_xll.BDP(AI33,"DS032"))/360)*I33)*O33</f>
        <v>10804.933333333332</v>
      </c>
      <c r="AP33" s="7">
        <f>IF(F33="USD",AO33,(((_xll.BDP(F33&amp;"USD CURNCY","PX_LAST")))*AO33))</f>
        <v>10804.933333333332</v>
      </c>
      <c r="AQ33" s="9" t="e">
        <f>S33/$S$181</f>
        <v>#DIV/0!</v>
      </c>
      <c r="AR33" s="7">
        <f t="shared" si="8"/>
        <v>607038</v>
      </c>
      <c r="AS33" s="13">
        <f>IF((TEXT(_xll.BDP(AI33,"MATURITY"),"DD/MM/YYYY")="#N/A Field Not Applicable"),"Perp",_xll.BDP(AI33,"DS252"))</f>
        <v>27.761806981519506</v>
      </c>
      <c r="AT33" s="5" t="str">
        <f>(IF(_xll.BDP($AI33&amp;" ISIN","DT247")="Y","Yes","No"))</f>
        <v>Yes</v>
      </c>
      <c r="AU33" s="5" t="str">
        <f>PROPER(IF(OR(_xll.BDP($AI33,"CPN_TYP")="#n/a N/A",_xll.BDP($AI33,"CPN_TYP")= "#N/A FIELD NOT APPLICABLE"), " ", _xll.BDP($AI33,"CPN_TYP")))</f>
        <v>Fixed</v>
      </c>
      <c r="BG33" s="27" t="str">
        <f t="shared" si="9"/>
        <v>US83368TBT43</v>
      </c>
      <c r="BH33" s="36">
        <v>45590</v>
      </c>
    </row>
    <row r="34" spans="1:61" s="15" customFormat="1" ht="14.45" customHeight="1" x14ac:dyDescent="0.25">
      <c r="A34" s="16" t="s">
        <v>138</v>
      </c>
      <c r="B34" s="16" t="s">
        <v>88</v>
      </c>
      <c r="C34" s="16">
        <v>4371510</v>
      </c>
      <c r="D34" s="16" t="s">
        <v>89</v>
      </c>
      <c r="E34" s="11" t="str">
        <f>_xll.BDP(AI34,"ds520")</f>
        <v>UBS Group AG</v>
      </c>
      <c r="F34" s="11" t="str">
        <f>_xll.BDP(AI34,"crncy")</f>
        <v>USD</v>
      </c>
      <c r="G34" s="34" t="s">
        <v>91</v>
      </c>
      <c r="H34" s="11" t="str">
        <f>IF(_xll.BDP(AI34,"RTG_MOODY")="#N/A N/A","N/A",_xll.BDP(AI34,"RTG_MOODY"))&amp;","&amp;IF(_xll.BDP(AI34,"RTG_FITCH")="#N/A N/A","N/A",_xll.BDP(AI34,"RTG_FITCH"))&amp;","&amp;IF(_xll.BDP(AI34,"RTG_SP")="#N/A N/A","N/A",_xll.BDP(AI34,"RTG_SP"))</f>
        <v>A3,A,A-</v>
      </c>
      <c r="I34" s="5">
        <f>_xll.BDP(AI34,"cpn")/100</f>
        <v>5.3789999999999998E-2</v>
      </c>
      <c r="J34" s="5">
        <f ca="1">_xll.BDP($G34&amp;" isin","YAS_BOND_YLD", "YAS_YLD_FLAG=15", "user_local_trade_date",AN34,"Yas_bond_px",$Q34)/100</f>
        <v>5.7045619999999998E-2</v>
      </c>
      <c r="K34" s="11" t="str">
        <f>_xll.BDP(AI34,"PAYMENT_RANK")</f>
        <v>Sr Unsecured</v>
      </c>
      <c r="L34" s="11" t="str">
        <f>IF((TEXT(_xll.BDP(AI34,"MATURITY"),"DD/MM/YYYY")="#N/A Field Not Applicable"),"Perp",TEXT(_xll.BDP(AI34,"MATURITY"),"DD/MM/YYYY"))</f>
        <v>06/09/2045</v>
      </c>
      <c r="M34" s="6">
        <f>(IF(_xll.BDP($AI34&amp;" ISIN","DU003")="#n/a n/a"," ",_xll.BDP($AI34&amp;" ISIN","DU003")))</f>
        <v>12.071296724350738</v>
      </c>
      <c r="N34" s="11" t="str">
        <f>IF(_xll.BDP(AI34,"CALLABLE")="Y",_xll.BDP(AI34,"NXT_CALL_DT")," ")</f>
        <v>06/09/2044</v>
      </c>
      <c r="O34" s="35">
        <v>500000</v>
      </c>
      <c r="P34" s="34">
        <v>101.405</v>
      </c>
      <c r="Q34" s="13">
        <f>_xll.BDP(AI34,"px_bid")</f>
        <v>96.2</v>
      </c>
      <c r="R34" s="7">
        <f>IF(F34="USD",AG34,(((_xll.BDP(F34&amp;"USD CURNCY","PX_LAST")))*AG34))</f>
        <v>507025</v>
      </c>
      <c r="S34" s="7">
        <f>IF(F34="USD",AH34,(((_xll.BDP(F34&amp;"USD CURNCY","PX_LAST")))*AH34))+AP34</f>
        <v>483315.95833333331</v>
      </c>
      <c r="T34" s="8">
        <f t="shared" si="0"/>
        <v>-26024.999999999993</v>
      </c>
      <c r="U34" s="9">
        <f t="shared" si="1"/>
        <v>-5.1328829939352089E-2</v>
      </c>
      <c r="V34" s="9" cm="1">
        <f t="array" ref="V34">IFERROR(_xll.BDP($G34&amp;" ISIN","CHG_PCT_1D")/100,"")</f>
        <v>0</v>
      </c>
      <c r="W34" s="9" cm="1">
        <f t="array" ref="W34">IFERROR(_xll.BDP($G34&amp;" ISIN","CHG_PCT_5D")/100,"")</f>
        <v>1.2237232631792687E-2</v>
      </c>
      <c r="X34" s="9" t="e" cm="1">
        <f t="array" ref="X34">_xll.BDP($G34&amp;" ISIN","CHG_PCT_1M")/100</f>
        <v>#VALUE!</v>
      </c>
      <c r="Y34" s="9" t="e" cm="1">
        <f t="array" ref="Y34">_xll.BDP($G34&amp;" ISIN","CHG_PCT_3M")/100</f>
        <v>#VALUE!</v>
      </c>
      <c r="Z34" s="9" cm="1">
        <f t="array" ref="Z34">_xll.BDP($G34&amp;" ISIN","CHG_PCT_6M")/100</f>
        <v>-6.0354174195880031E-2</v>
      </c>
      <c r="AA34" s="9" cm="1">
        <f t="array" ref="AA34">_xll.BDP($G34&amp;" ISIN","CHG_PCT_YTD")/100</f>
        <v>-5.3763440860214642E-3</v>
      </c>
      <c r="AB34" s="9" t="e">
        <f t="shared" si="2"/>
        <v>#DIV/0!</v>
      </c>
      <c r="AC34" s="12">
        <f t="shared" ca="1" si="3"/>
        <v>-13025.749999999993</v>
      </c>
      <c r="AD34" s="11" t="str">
        <f>_xll.BDP(AI34,"DS199")</f>
        <v>Financial</v>
      </c>
      <c r="AE34" s="13">
        <f>_xll.BDP(AI34,"px_ask")</f>
        <v>96.2</v>
      </c>
      <c r="AF34" s="12">
        <f>IF(F34="USD",O34,(((_xll.BDP(F34&amp;"USD CURNCY","PX_LAST")))*O34))</f>
        <v>500000</v>
      </c>
      <c r="AG34" s="7">
        <f t="shared" si="4"/>
        <v>507025</v>
      </c>
      <c r="AH34" s="7">
        <f t="shared" si="5"/>
        <v>481000</v>
      </c>
      <c r="AI34" s="11" t="str">
        <f t="shared" si="6"/>
        <v>USH42097EY93 ISIN</v>
      </c>
      <c r="AJ34" s="11" t="e" cm="1">
        <f t="array" ref="AJ34">VLOOKUP(IF(NOT(_xll.BDP($G34&amp;" CORP",#REF!)="#N/A N/A"),(_xll.BDP($G34&amp;" CORP",#REF!)),"-"), '[1]Country Codes'!$A$2:$B$253,2,0)</f>
        <v>#REF!</v>
      </c>
      <c r="AK34" s="11" t="str" cm="1">
        <f t="array" ref="AK34">IF(OR(_xll.BDP($AI34,"EX028")= "#N/A N/A", _xll.BDP($AI34,"EX028")="#N/A FIELD NOT APPLICABLE"), " ", _xll.BDP($AI34,"EX028"))</f>
        <v>FixedIncome</v>
      </c>
      <c r="AL34" s="5" t="str">
        <f>(IF(_xll.BDP($AI34&amp;" ISIN","DZ282")="Y","Single line Bonds Cocos","Single line Bonds ex Cocos"))</f>
        <v>Single line Bonds ex Cocos</v>
      </c>
      <c r="AM34" s="6">
        <f>(IF(_xll.BDP($G34&amp;" ISIN","SP153")="#n/a n/a"," ",_xll.BDP($G34&amp;" ISIN","SP153")))</f>
        <v>199.94920249524233</v>
      </c>
      <c r="AN34" s="14">
        <f t="shared" ca="1" si="7"/>
        <v>45755</v>
      </c>
      <c r="AO34" s="7">
        <f>(((_xll.BDP(AI34,"DS032"))/360)*I34)*O34</f>
        <v>2315.958333333333</v>
      </c>
      <c r="AP34" s="7">
        <f>IF(F34="USD",AO34,(((_xll.BDP(F34&amp;"USD CURNCY","PX_LAST")))*AO34))</f>
        <v>2315.958333333333</v>
      </c>
      <c r="AQ34" s="9" t="e">
        <f>S34/$S$177</f>
        <v>#DIV/0!</v>
      </c>
      <c r="AR34" s="7">
        <f t="shared" si="8"/>
        <v>481000</v>
      </c>
      <c r="AS34" s="13">
        <f>IF((TEXT(_xll.BDP(AI34,"MATURITY"),"DD/MM/YYYY")="#N/A Field Not Applicable"),"Perp",_xll.BDP(AI34,"DS252"))</f>
        <v>20.416153319644078</v>
      </c>
      <c r="AT34" s="5" t="str">
        <f>(IF(_xll.BDP($AI34&amp;" ISIN","DT247")="Y","Yes","No"))</f>
        <v>No</v>
      </c>
      <c r="AU34" s="5" t="str">
        <f>PROPER(IF(OR(_xll.BDP($AI34,"CPN_TYP")="#n/a N/A",_xll.BDP($AI34,"CPN_TYP")= "#N/A FIELD NOT APPLICABLE"), " ", _xll.BDP($AI34,"CPN_TYP")))</f>
        <v>Variable</v>
      </c>
      <c r="BG34" s="27" t="str">
        <f t="shared" si="9"/>
        <v>USH42097EY93</v>
      </c>
      <c r="BH34" s="36">
        <v>45581</v>
      </c>
    </row>
    <row r="35" spans="1:61" s="15" customFormat="1" ht="14.45" customHeight="1" x14ac:dyDescent="0.25">
      <c r="A35" s="16" t="s">
        <v>138</v>
      </c>
      <c r="B35" s="16" t="s">
        <v>119</v>
      </c>
      <c r="C35" s="16">
        <v>6504690</v>
      </c>
      <c r="D35" s="16" t="s">
        <v>120</v>
      </c>
      <c r="E35" s="11" t="str">
        <f>_xll.BDP(AI35,"ds520")</f>
        <v>UBS Group AG</v>
      </c>
      <c r="F35" s="11" t="str">
        <f>_xll.BDP(AI35,"crncy")</f>
        <v>USD</v>
      </c>
      <c r="G35" s="34" t="s">
        <v>91</v>
      </c>
      <c r="H35" s="11" t="str">
        <f>IF(_xll.BDP(AI35,"RTG_MOODY")="#N/A N/A","N/A",_xll.BDP(AI35,"RTG_MOODY"))&amp;","&amp;IF(_xll.BDP(AI35,"RTG_FITCH")="#N/A N/A","N/A",_xll.BDP(AI35,"RTG_FITCH"))&amp;","&amp;IF(_xll.BDP(AI35,"RTG_SP")="#N/A N/A","N/A",_xll.BDP(AI35,"RTG_SP"))</f>
        <v>A3,A,A-</v>
      </c>
      <c r="I35" s="5">
        <f>_xll.BDP(AI35,"cpn")/100</f>
        <v>5.3789999999999998E-2</v>
      </c>
      <c r="J35" s="5">
        <f ca="1">_xll.BDP($G35&amp;" isin","YAS_BOND_YLD", "YAS_YLD_FLAG=15", "user_local_trade_date",AN35,"Yas_bond_px",$Q35)/100</f>
        <v>5.7045619999999998E-2</v>
      </c>
      <c r="K35" s="11" t="str">
        <f>_xll.BDP(AI35,"PAYMENT_RANK")</f>
        <v>Sr Unsecured</v>
      </c>
      <c r="L35" s="11" t="str">
        <f>IF((TEXT(_xll.BDP(AI35,"MATURITY"),"DD/MM/YYYY")="#N/A Field Not Applicable"),"Perp",TEXT(_xll.BDP(AI35,"MATURITY"),"DD/MM/YYYY"))</f>
        <v>06/09/2045</v>
      </c>
      <c r="M35" s="6">
        <f>(IF(_xll.BDP($AI35&amp;" ISIN","DU003")="#n/a n/a"," ",_xll.BDP($AI35&amp;" ISIN","DU003")))</f>
        <v>12.071296724350738</v>
      </c>
      <c r="N35" s="11" t="str">
        <f>IF(_xll.BDP(AI35,"CALLABLE")="Y",_xll.BDP(AI35,"NXT_CALL_DT")," ")</f>
        <v>06/09/2044</v>
      </c>
      <c r="O35" s="35">
        <v>500000</v>
      </c>
      <c r="P35" s="34">
        <v>98.98</v>
      </c>
      <c r="Q35" s="13">
        <f>_xll.BDP(AI35,"px_bid")</f>
        <v>96.2</v>
      </c>
      <c r="R35" s="7">
        <f>IF(F35="USD",AG35,(((_xll.BDP(F35&amp;"USD CURNCY","PX_LAST")))*AG35))</f>
        <v>494900</v>
      </c>
      <c r="S35" s="7">
        <f>IF(F35="USD",AH35,(((_xll.BDP(F35&amp;"USD CURNCY","PX_LAST")))*AH35))+AP35</f>
        <v>483315.95833333331</v>
      </c>
      <c r="T35" s="8">
        <f t="shared" si="0"/>
        <v>-13900.000000000005</v>
      </c>
      <c r="U35" s="9">
        <f t="shared" si="1"/>
        <v>-2.8086482117599527E-2</v>
      </c>
      <c r="V35" s="9" cm="1">
        <f t="array" ref="V35">IFERROR(_xll.BDP($G35&amp;" ISIN","CHG_PCT_1D")/100,"")</f>
        <v>0</v>
      </c>
      <c r="W35" s="9" cm="1">
        <f t="array" ref="W35">IFERROR(_xll.BDP($G35&amp;" ISIN","CHG_PCT_5D")/100,"")</f>
        <v>1.2237232631792687E-2</v>
      </c>
      <c r="X35" s="9" t="e" cm="1">
        <f t="array" ref="X35">_xll.BDP($G35&amp;" ISIN","CHG_PCT_1M")/100</f>
        <v>#VALUE!</v>
      </c>
      <c r="Y35" s="9" t="e" cm="1">
        <f t="array" ref="Y35">_xll.BDP($G35&amp;" ISIN","CHG_PCT_3M")/100</f>
        <v>#VALUE!</v>
      </c>
      <c r="Z35" s="9" cm="1">
        <f t="array" ref="Z35">_xll.BDP($G35&amp;" ISIN","CHG_PCT_6M")/100</f>
        <v>-6.0354174195880031E-2</v>
      </c>
      <c r="AA35" s="9" cm="1">
        <f t="array" ref="AA35">_xll.BDP($G35&amp;" ISIN","CHG_PCT_YTD")/100</f>
        <v>-5.3763440860214642E-3</v>
      </c>
      <c r="AB35" s="9" t="e">
        <f t="shared" si="2"/>
        <v>#DIV/0!</v>
      </c>
      <c r="AC35" s="12">
        <f t="shared" ca="1" si="3"/>
        <v>-1349.0000000000055</v>
      </c>
      <c r="AD35" s="11" t="str">
        <f>_xll.BDP(AI35,"DS199")</f>
        <v>Financial</v>
      </c>
      <c r="AE35" s="13">
        <f>_xll.BDP(AI35,"px_ask")</f>
        <v>96.2</v>
      </c>
      <c r="AF35" s="12">
        <f>IF(F35="USD",O35,(((_xll.BDP(F35&amp;"USD CURNCY","PX_LAST")))*O35))</f>
        <v>500000</v>
      </c>
      <c r="AG35" s="7">
        <f t="shared" si="4"/>
        <v>494900</v>
      </c>
      <c r="AH35" s="7">
        <f t="shared" si="5"/>
        <v>481000</v>
      </c>
      <c r="AI35" s="11" t="str">
        <f t="shared" si="6"/>
        <v>USH42097EY93 ISIN</v>
      </c>
      <c r="AJ35" s="11" t="e" cm="1">
        <f t="array" ref="AJ35">VLOOKUP(IF(NOT(_xll.BDP($G35&amp;" CORP",#REF!)="#N/A N/A"),(_xll.BDP($G35&amp;" CORP",#REF!)),"-"), '[1]Country Codes'!$A$2:$B$253,2,0)</f>
        <v>#REF!</v>
      </c>
      <c r="AK35" s="11" t="str" cm="1">
        <f t="array" ref="AK35">IF(OR(_xll.BDP($AI35,"EX028")= "#N/A N/A", _xll.BDP($AI35,"EX028")="#N/A FIELD NOT APPLICABLE"), " ", _xll.BDP($AI35,"EX028"))</f>
        <v>FixedIncome</v>
      </c>
      <c r="AL35" s="5" t="str">
        <f>(IF(_xll.BDP($AI35&amp;" ISIN","DZ282")="Y","Single line Bonds Cocos","Single line Bonds ex Cocos"))</f>
        <v>Single line Bonds ex Cocos</v>
      </c>
      <c r="AM35" s="6">
        <f>(IF(_xll.BDP($G35&amp;" ISIN","SP153")="#n/a n/a"," ",_xll.BDP($G35&amp;" ISIN","SP153")))</f>
        <v>199.94920249524233</v>
      </c>
      <c r="AN35" s="14">
        <f t="shared" ca="1" si="7"/>
        <v>45755</v>
      </c>
      <c r="AO35" s="7">
        <f>(((_xll.BDP(AI35,"DS032"))/360)*I35)*O35</f>
        <v>2315.958333333333</v>
      </c>
      <c r="AP35" s="7">
        <f>IF(F35="USD",AO35,(((_xll.BDP(F35&amp;"USD CURNCY","PX_LAST")))*AO35))</f>
        <v>2315.958333333333</v>
      </c>
      <c r="AQ35" s="9" t="e">
        <f>S35/$S$180</f>
        <v>#DIV/0!</v>
      </c>
      <c r="AR35" s="7">
        <f t="shared" si="8"/>
        <v>481000</v>
      </c>
      <c r="AS35" s="13">
        <f>IF((TEXT(_xll.BDP(AI35,"MATURITY"),"DD/MM/YYYY")="#N/A Field Not Applicable"),"Perp",_xll.BDP(AI35,"DS252"))</f>
        <v>20.416153319644078</v>
      </c>
      <c r="AT35" s="5" t="str">
        <f>(IF(_xll.BDP($AI35&amp;" ISIN","DT247")="Y","Yes","No"))</f>
        <v>No</v>
      </c>
      <c r="AU35" s="5" t="str">
        <f>PROPER(IF(OR(_xll.BDP($AI35,"CPN_TYP")="#n/a N/A",_xll.BDP($AI35,"CPN_TYP")= "#N/A FIELD NOT APPLICABLE"), " ", _xll.BDP($AI35,"CPN_TYP")))</f>
        <v>Variable</v>
      </c>
      <c r="BG35" s="27" t="str">
        <f t="shared" si="9"/>
        <v>USH42097EY93</v>
      </c>
      <c r="BH35" s="36">
        <v>45587</v>
      </c>
    </row>
    <row r="36" spans="1:61" s="15" customFormat="1" ht="14.45" customHeight="1" x14ac:dyDescent="0.25">
      <c r="A36" s="16" t="s">
        <v>138</v>
      </c>
      <c r="B36" s="16" t="s">
        <v>88</v>
      </c>
      <c r="C36" s="16">
        <v>4371510</v>
      </c>
      <c r="D36" s="16" t="s">
        <v>89</v>
      </c>
      <c r="E36" s="11" t="str">
        <f>_xll.BDP(AI36,"ds520")</f>
        <v>United Kingdom Gilt</v>
      </c>
      <c r="F36" s="11" t="str">
        <f>_xll.BDP(AI36,"crncy")</f>
        <v>GBP</v>
      </c>
      <c r="G36" s="34" t="s">
        <v>121</v>
      </c>
      <c r="H36" s="11" t="str">
        <f>IF(_xll.BDP(AI36,"RTG_MOODY")="#N/A N/A","N/A",_xll.BDP(AI36,"RTG_MOODY"))&amp;","&amp;IF(_xll.BDP(AI36,"RTG_FITCH")="#N/A N/A","N/A",_xll.BDP(AI36,"RTG_FITCH"))&amp;","&amp;IF(_xll.BDP(AI36,"RTG_SP")="#N/A N/A","N/A",_xll.BDP(AI36,"RTG_SP"))</f>
        <v>Aa3u,AA-u,N/A</v>
      </c>
      <c r="I36" s="38">
        <f>_xll.BDP(AI36,"cpn")/100</f>
        <v>5.0000000000000001E-3</v>
      </c>
      <c r="J36" s="5">
        <f ca="1">_xll.BDP($G36&amp;" isin","YAS_BOND_YLD", "YAS_YLD_FLAG=15", "user_local_trade_date",AN36,"Yas_bond_px",$Q36)/100</f>
        <v>4.6937600000000003E-2</v>
      </c>
      <c r="K36" s="11" t="str">
        <f>_xll.BDP(AI36,"PAYMENT_RANK")</f>
        <v>Unsecured</v>
      </c>
      <c r="L36" s="11" t="str">
        <f>IF((TEXT(_xll.BDP(AI36,"MATURITY"),"DD/MM/YYYY")="#N/A Field Not Applicable"),"Perp",TEXT(_xll.BDP(AI36,"MATURITY"),"DD/MM/YYYY"))</f>
        <v>22/10/2061</v>
      </c>
      <c r="M36" s="6">
        <f>(IF(_xll.BDP($AI36&amp;" ISIN","DU003")="#n/a n/a"," ",_xll.BDP($AI36&amp;" ISIN","DU003")))</f>
        <v>28.918038542490766</v>
      </c>
      <c r="N36" s="11" t="str">
        <f>IF(_xll.BDP(AI36,"CALLABLE")="Y",_xll.BDP(AI36,"NXT_CALL_DT")," ")</f>
        <v xml:space="preserve"> </v>
      </c>
      <c r="O36" s="35">
        <v>1130000</v>
      </c>
      <c r="P36" s="34">
        <v>29.684999999999999</v>
      </c>
      <c r="Q36" s="13">
        <f>_xll.BDP(AI36,"px_bid")</f>
        <v>27.055</v>
      </c>
      <c r="R36" s="7">
        <f>IF(F36="USD",AG36,(((_xll.BDP(F36&amp;"USD CURNCY","PX_LAST")))*AG36))</f>
        <v>428558.78280000004</v>
      </c>
      <c r="S36" s="7">
        <f>IF(F36="USD",AH36,(((_xll.BDP(F36&amp;"USD CURNCY","PX_LAST")))*AH36))+AP36</f>
        <v>393932.02500273974</v>
      </c>
      <c r="T36" s="8">
        <f t="shared" si="0"/>
        <v>-37968.994399999989</v>
      </c>
      <c r="U36" s="9">
        <f t="shared" si="1"/>
        <v>-8.8596934478692907E-2</v>
      </c>
      <c r="V36" s="9" cm="1">
        <f t="array" ref="V36">IFERROR(_xll.BDP($G36&amp;" ISIN","CHG_PCT_1D")/100,"")</f>
        <v>-8.4196654098180768E-3</v>
      </c>
      <c r="W36" s="9" cm="1">
        <f t="array" ref="W36">IFERROR(_xll.BDP($G36&amp;" ISIN","CHG_PCT_5D")/100,"")</f>
        <v>-2.4665130347112155E-2</v>
      </c>
      <c r="X36" s="9" cm="1">
        <f t="array" ref="X36">_xll.BDP($G36&amp;" ISIN","CHG_PCT_1M")/100</f>
        <v>-2.9591946404900961E-2</v>
      </c>
      <c r="Y36" s="9" cm="1">
        <f t="array" ref="Y36">_xll.BDP($G36&amp;" ISIN","CHG_PCT_3M")/100</f>
        <v>2.1803915651288218E-2</v>
      </c>
      <c r="Z36" s="9" cm="1">
        <f t="array" ref="Z36">_xll.BDP($G36&amp;" ISIN","CHG_PCT_6M")/100</f>
        <v>-8.5578286408750259E-2</v>
      </c>
      <c r="AA36" s="9" cm="1">
        <f t="array" ref="AA36">_xll.BDP($G36&amp;" ISIN","CHG_PCT_YTD")/100</f>
        <v>-3.7214757944124564E-2</v>
      </c>
      <c r="AB36" s="9" t="e">
        <f>S36/$H$40</f>
        <v>#DIV/0!</v>
      </c>
      <c r="AC36" s="12">
        <f t="shared" ca="1" si="3"/>
        <v>-31552.603288888877</v>
      </c>
      <c r="AD36" s="11" t="str">
        <f>_xll.BDP(AI36,"DS199")</f>
        <v>Government</v>
      </c>
      <c r="AE36" s="13">
        <f>_xll.BDP(AI36,"px_ask")</f>
        <v>27.117999999999999</v>
      </c>
      <c r="AF36" s="12">
        <f>IF(F36="USD",O36,(((_xll.BDP(F36&amp;"USD CURNCY","PX_LAST")))*O36))</f>
        <v>1443688</v>
      </c>
      <c r="AG36" s="7">
        <f t="shared" si="4"/>
        <v>335440.5</v>
      </c>
      <c r="AH36" s="7">
        <f t="shared" si="5"/>
        <v>305721.5</v>
      </c>
      <c r="AI36" s="11" t="str">
        <f t="shared" si="6"/>
        <v>GB00BMBL1D50 ISIN</v>
      </c>
      <c r="AJ36" s="11" t="e" cm="1">
        <f t="array" ref="AJ36">VLOOKUP(IF(NOT(_xll.BDP($G36&amp;" CORP",$BX$4)="#N/A N/A"),(_xll.BDP($G36&amp;" CORP",$BX$4)),"-"), '[1]Country Codes'!$A$2:$B$253,2,0)</f>
        <v>#N/A</v>
      </c>
      <c r="AK36" s="11" t="str" cm="1">
        <f t="array" ref="AK36">IF(OR(_xll.BDP($AI36,"EX028")= "#N/A N/A", _xll.BDP($AI36,"EX028")="#N/A FIELD NOT APPLICABLE"), " ", _xll.BDP($AI36,"EX028"))</f>
        <v>FixedIncome</v>
      </c>
      <c r="AL36" s="5" t="str">
        <f>(IF(_xll.BDP($AI36&amp;" ISIN","DZ282")="Y","Single line Bonds Cocos","Single line Bonds ex Cocos"))</f>
        <v>Single line Bonds ex Cocos</v>
      </c>
      <c r="AM36" s="6">
        <f>(IF(_xll.BDP($G36&amp;" ISIN","SP153")="#n/a n/a"," ",_xll.BDP($G36&amp;" ISIN","SP153")))</f>
        <v>33.543213104092565</v>
      </c>
      <c r="AN36" s="14">
        <f t="shared" ca="1" si="7"/>
        <v>45755</v>
      </c>
      <c r="AO36" s="7">
        <f>(((_xll.BDP(AI36,"DS032"))/365)*I36)*O36</f>
        <v>2616.0273972602736</v>
      </c>
      <c r="AP36" s="7">
        <f>IF(F36="USD",AO36,(((_xll.BDP(F36&amp;"USD CURNCY","PX_LAST")))*AO36))</f>
        <v>3342.2366027397256</v>
      </c>
      <c r="AQ36" s="9" t="e">
        <f>S36/$S$163</f>
        <v>#DIV/0!</v>
      </c>
      <c r="AR36" s="7">
        <f t="shared" si="8"/>
        <v>390589.78840000002</v>
      </c>
      <c r="AS36" s="13">
        <f>IF((TEXT(_xll.BDP(AI36,"MATURITY"),"DD/MM/YYYY")="#N/A Field Not Applicable"),"Perp",_xll.BDP(AI36,"DS252"))</f>
        <v>36.539356605065024</v>
      </c>
      <c r="AT36" s="5" t="str">
        <f>(IF(_xll.BDP($AI36&amp;" ISIN","DT247")="Y","Yes","No"))</f>
        <v>No</v>
      </c>
      <c r="AU36" s="5" t="str">
        <f>PROPER(IF(OR(_xll.BDP($AI36,"CPN_TYP")="#n/a N/A",_xll.BDP($AI36,"CPN_TYP")= "#N/A FIELD NOT APPLICABLE"), " ", _xll.BDP($AI36,"CPN_TYP")))</f>
        <v>Fixed</v>
      </c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27" t="str">
        <f t="shared" si="9"/>
        <v>GB00BMBL1D50</v>
      </c>
      <c r="BH36" s="36">
        <v>45435</v>
      </c>
      <c r="BI36" s="4"/>
    </row>
    <row r="37" spans="1:61" s="15" customFormat="1" ht="14.45" customHeight="1" x14ac:dyDescent="0.25">
      <c r="A37" s="16" t="s">
        <v>138</v>
      </c>
      <c r="B37" s="16" t="s">
        <v>119</v>
      </c>
      <c r="C37" s="16">
        <v>6582977</v>
      </c>
      <c r="D37" s="16" t="s">
        <v>120</v>
      </c>
      <c r="E37" s="11" t="str">
        <f>_xll.BDP(AI37,"ds520")</f>
        <v>United Kingdom Gilt</v>
      </c>
      <c r="F37" s="11" t="str">
        <f>_xll.BDP(AI37,"crncy")</f>
        <v>GBP</v>
      </c>
      <c r="G37" s="34" t="s">
        <v>121</v>
      </c>
      <c r="H37" s="11" t="str">
        <f>IF(_xll.BDP(AI37,"RTG_MOODY")="#N/A N/A","N/A",_xll.BDP(AI37,"RTG_MOODY"))&amp;","&amp;IF(_xll.BDP(AI37,"RTG_FITCH")="#N/A N/A","N/A",_xll.BDP(AI37,"RTG_FITCH"))&amp;","&amp;IF(_xll.BDP(AI37,"RTG_SP")="#N/A N/A","N/A",_xll.BDP(AI37,"RTG_SP"))</f>
        <v>Aa3u,AA-u,N/A</v>
      </c>
      <c r="I37" s="5">
        <f>_xll.BDP(AI37,"cpn")/100</f>
        <v>5.0000000000000001E-3</v>
      </c>
      <c r="J37" s="5">
        <f ca="1">_xll.BDP($G37&amp;" isin","YAS_BOND_YLD", "YAS_YLD_FLAG=15", "user_local_trade_date",AN37,"Yas_bond_px",$Q37)/100</f>
        <v>4.6937600000000003E-2</v>
      </c>
      <c r="K37" s="11" t="str">
        <f>_xll.BDP(AI37,"PAYMENT_RANK")</f>
        <v>Unsecured</v>
      </c>
      <c r="L37" s="11" t="str">
        <f>IF((TEXT(_xll.BDP(AI37,"MATURITY"),"DD/MM/YYYY")="#N/A Field Not Applicable"),"Perp",TEXT(_xll.BDP(AI37,"MATURITY"),"DD/MM/YYYY"))</f>
        <v>22/10/2061</v>
      </c>
      <c r="M37" s="6">
        <f>(IF(_xll.BDP($AI37&amp;" ISIN","DU003")="#n/a n/a"," ",_xll.BDP($AI37&amp;" ISIN","DU003")))</f>
        <v>28.918038542490766</v>
      </c>
      <c r="N37" s="11" t="str">
        <f>IF(_xll.BDP(AI37,"CALLABLE")="Y",_xll.BDP(AI37,"NXT_CALL_DT")," ")</f>
        <v xml:space="preserve"> </v>
      </c>
      <c r="O37" s="35">
        <v>2500000</v>
      </c>
      <c r="P37" s="34">
        <v>32.07</v>
      </c>
      <c r="Q37" s="13">
        <f>_xll.BDP(AI37,"px_bid")</f>
        <v>27.055</v>
      </c>
      <c r="R37" s="7">
        <f>IF(F37="USD",AG37,(((_xll.BDP(F37&amp;"USD CURNCY","PX_LAST")))*AG37))</f>
        <v>1024315.8</v>
      </c>
      <c r="S37" s="7">
        <f>IF(F37="USD",AH37,(((_xll.BDP(F37&amp;"USD CURNCY","PX_LAST")))*AH37))+AP37</f>
        <v>871633.72777777782</v>
      </c>
      <c r="T37" s="8">
        <f t="shared" si="0"/>
        <v>-160179.10000000003</v>
      </c>
      <c r="U37" s="9">
        <f t="shared" si="1"/>
        <v>-0.15637667602120364</v>
      </c>
      <c r="V37" s="9" cm="1">
        <f t="array" ref="V37">IFERROR(_xll.BDP($G37&amp;" ISIN","CHG_PCT_1D")/100,"")</f>
        <v>-8.4196654098180768E-3</v>
      </c>
      <c r="W37" s="9" cm="1">
        <f t="array" ref="W37">IFERROR(_xll.BDP($G37&amp;" ISIN","CHG_PCT_5D")/100,"")</f>
        <v>-2.4665130347112155E-2</v>
      </c>
      <c r="X37" s="9" cm="1">
        <f t="array" ref="X37">_xll.BDP($G37&amp;" ISIN","CHG_PCT_1M")/100</f>
        <v>-2.9591946404900961E-2</v>
      </c>
      <c r="Y37" s="9" cm="1">
        <f t="array" ref="Y37">_xll.BDP($G37&amp;" ISIN","CHG_PCT_3M")/100</f>
        <v>2.1803915651288218E-2</v>
      </c>
      <c r="Z37" s="9" cm="1">
        <f t="array" ref="Z37">_xll.BDP($G37&amp;" ISIN","CHG_PCT_6M")/100</f>
        <v>-8.5578286408750259E-2</v>
      </c>
      <c r="AA37" s="9" cm="1">
        <f t="array" ref="AA37">_xll.BDP($G37&amp;" ISIN","CHG_PCT_YTD")/100</f>
        <v>-3.7214757944124564E-2</v>
      </c>
      <c r="AB37" s="9" t="e">
        <f>S37/$H$41</f>
        <v>#DIV/0!</v>
      </c>
      <c r="AC37" s="12">
        <f t="shared" ca="1" si="3"/>
        <v>-117991.68333333338</v>
      </c>
      <c r="AD37" s="11" t="str">
        <f>_xll.BDP(AI37,"DS199")</f>
        <v>Government</v>
      </c>
      <c r="AE37" s="13">
        <f>_xll.BDP(AI37,"px_ask")</f>
        <v>27.117999999999999</v>
      </c>
      <c r="AF37" s="12">
        <f>IF(F37="USD",O37,(((_xll.BDP(F37&amp;"USD CURNCY","PX_LAST")))*O37))</f>
        <v>3194000</v>
      </c>
      <c r="AG37" s="7">
        <f t="shared" si="4"/>
        <v>801750</v>
      </c>
      <c r="AH37" s="7">
        <f t="shared" si="5"/>
        <v>676375</v>
      </c>
      <c r="AI37" s="11" t="str">
        <f t="shared" si="6"/>
        <v>GB00BMBL1D50 ISIN</v>
      </c>
      <c r="AJ37" s="11" t="e" cm="1">
        <f t="array" ref="AJ37">VLOOKUP(IF(NOT(_xll.BDP($G37&amp;" CORP",#REF!)="#N/A N/A"),(_xll.BDP($G37&amp;" CORP",#REF!)),"-"), '[1]Country Codes'!$A$2:$B$253,2,0)</f>
        <v>#REF!</v>
      </c>
      <c r="AK37" s="11" t="str" cm="1">
        <f t="array" ref="AK37">IF(OR(_xll.BDP($AI37,"EX028")= "#N/A N/A", _xll.BDP($AI37,"EX028")="#N/A FIELD NOT APPLICABLE"), " ", _xll.BDP($AI37,"EX028"))</f>
        <v>FixedIncome</v>
      </c>
      <c r="AL37" s="5" t="str">
        <f>(IF(_xll.BDP($AI37&amp;" ISIN","DZ282")="Y","Single line Bonds Cocos","Single line Bonds ex Cocos"))</f>
        <v>Single line Bonds ex Cocos</v>
      </c>
      <c r="AM37" s="6">
        <f>(IF(_xll.BDP($G37&amp;" ISIN","SP153")="#n/a n/a"," ",_xll.BDP($G37&amp;" ISIN","SP153")))</f>
        <v>33.543213104092565</v>
      </c>
      <c r="AN37" s="14">
        <f t="shared" ca="1" si="7"/>
        <v>45755</v>
      </c>
      <c r="AO37" s="7">
        <f>(((_xll.BDP(AI37,"DS032"))/360)*I37)*O37</f>
        <v>5868.0555555555557</v>
      </c>
      <c r="AP37" s="7">
        <f>IF(F37="USD",AO37,(((_xll.BDP(F37&amp;"USD CURNCY","PX_LAST")))*AO37))</f>
        <v>7497.0277777777783</v>
      </c>
      <c r="AQ37" s="9" t="e">
        <f>S37/$S$179</f>
        <v>#DIV/0!</v>
      </c>
      <c r="AR37" s="7">
        <f t="shared" si="8"/>
        <v>864136.70000000007</v>
      </c>
      <c r="AS37" s="13">
        <f>IF((TEXT(_xll.BDP(AI37,"MATURITY"),"DD/MM/YYYY")="#N/A Field Not Applicable"),"Perp",_xll.BDP(AI37,"DS252"))</f>
        <v>36.539356605065024</v>
      </c>
      <c r="AT37" s="5" t="str">
        <f>(IF(_xll.BDP($AI37&amp;" ISIN","DT247")="Y","Yes","No"))</f>
        <v>No</v>
      </c>
      <c r="AU37" s="5" t="str">
        <f>PROPER(IF(OR(_xll.BDP($AI37,"CPN_TYP")="#n/a N/A",_xll.BDP($AI37,"CPN_TYP")= "#N/A FIELD NOT APPLICABLE"), " ", _xll.BDP($AI37,"CPN_TYP")))</f>
        <v>Fixed</v>
      </c>
      <c r="BG37" s="27" t="str">
        <f t="shared" si="9"/>
        <v>GB00BMBL1D50</v>
      </c>
      <c r="BH37" s="36">
        <v>44804</v>
      </c>
    </row>
    <row r="38" spans="1:61" s="15" customFormat="1" ht="14.45" customHeight="1" x14ac:dyDescent="0.25">
      <c r="A38" s="16" t="s">
        <v>138</v>
      </c>
      <c r="B38" s="16" t="s">
        <v>115</v>
      </c>
      <c r="C38" s="16">
        <v>13948491</v>
      </c>
      <c r="D38" s="16" t="s">
        <v>116</v>
      </c>
      <c r="E38" s="11" t="str">
        <f>_xll.BDP(AI38,"ds520")</f>
        <v>United Kingdom Gilt</v>
      </c>
      <c r="F38" s="11" t="str">
        <f>_xll.BDP(AI38,"crncy")</f>
        <v>GBP</v>
      </c>
      <c r="G38" s="34" t="s">
        <v>117</v>
      </c>
      <c r="H38" s="11" t="str">
        <f>IF(_xll.BDP(AI38,"RTG_MOODY")="#N/A N/A","N/A",_xll.BDP(AI38,"RTG_MOODY"))&amp;","&amp;IF(_xll.BDP(AI38,"RTG_FITCH")="#N/A N/A","N/A",_xll.BDP(AI38,"RTG_FITCH"))&amp;","&amp;IF(_xll.BDP(AI38,"RTG_SP")="#N/A N/A","N/A",_xll.BDP(AI38,"RTG_SP"))</f>
        <v>Aa3u,AA-u,N/A</v>
      </c>
      <c r="I38" s="5">
        <f>_xll.BDP(AI38,"cpn")/100</f>
        <v>4.3749999999999997E-2</v>
      </c>
      <c r="J38" s="5">
        <f ca="1">_xll.BDP($G38&amp;" isin","YAS_BOND_YLD", "YAS_YLD_FLAG=15", "user_local_trade_date",AN38,"Yas_bond_px",$Q38)/100</f>
        <v>5.0895340000000004E-2</v>
      </c>
      <c r="K38" s="11" t="str">
        <f>_xll.BDP(AI38,"PAYMENT_RANK")</f>
        <v>Unsecured</v>
      </c>
      <c r="L38" s="11" t="str">
        <f>IF((TEXT(_xll.BDP(AI38,"MATURITY"),"DD/MM/YYYY")="#N/A Field Not Applicable"),"Perp",TEXT(_xll.BDP(AI38,"MATURITY"),"DD/MM/YYYY"))</f>
        <v>31/07/2054</v>
      </c>
      <c r="M38" s="6">
        <f>(IF(_xll.BDP($AI38&amp;" ISIN","DU003")="#n/a n/a"," ",_xll.BDP($AI38&amp;" ISIN","DU003")))</f>
        <v>15.891409583546384</v>
      </c>
      <c r="N38" s="11" t="str">
        <f>IF(_xll.BDP(AI38,"CALLABLE")="Y",_xll.BDP(AI38,"NXT_CALL_DT")," ")</f>
        <v xml:space="preserve"> </v>
      </c>
      <c r="O38" s="35">
        <v>400000</v>
      </c>
      <c r="P38" s="34">
        <v>99.4</v>
      </c>
      <c r="Q38" s="13">
        <f>_xll.BDP(AI38,"px_bid")</f>
        <v>89.171999999999997</v>
      </c>
      <c r="R38" s="7">
        <f>IF(F38="USD",AG38,(((_xll.BDP(F38&amp;"USD CURNCY","PX_LAST")))*AG38))</f>
        <v>507973.76</v>
      </c>
      <c r="S38" s="7">
        <f>IF(F38="USD",AH38,(((_xll.BDP(F38&amp;"USD CURNCY","PX_LAST")))*AH38))+AP38</f>
        <v>459803.5554666667</v>
      </c>
      <c r="T38" s="8">
        <f t="shared" si="0"/>
        <v>-52269.171200000041</v>
      </c>
      <c r="U38" s="9">
        <f t="shared" si="1"/>
        <v>-0.10289738430583509</v>
      </c>
      <c r="V38" s="9" cm="1">
        <f t="array" ref="V38">IFERROR(_xll.BDP($G38&amp;" ISIN","CHG_PCT_1D")/100,"")</f>
        <v>1.4872891963859013E-2</v>
      </c>
      <c r="W38" s="9" cm="1">
        <f t="array" ref="W38">IFERROR(_xll.BDP($G38&amp;" ISIN","CHG_PCT_5D")/100,"")</f>
        <v>3.1314684829492213E-2</v>
      </c>
      <c r="X38" s="9" cm="1">
        <f t="array" ref="X38">_xll.BDP($G38&amp;" ISIN","CHG_PCT_1M")/100</f>
        <v>5.6946323861073005E-3</v>
      </c>
      <c r="Y38" s="9" cm="1">
        <f t="array" ref="Y38">_xll.BDP($G38&amp;" ISIN","CHG_PCT_3M")/100</f>
        <v>1.0835439594691123E-2</v>
      </c>
      <c r="Z38" s="9" cm="1">
        <f t="array" ref="Z38">_xll.BDP($G38&amp;" ISIN","CHG_PCT_6M")/100</f>
        <v>-6.3212293730239594E-2</v>
      </c>
      <c r="AA38" s="9" cm="1">
        <f t="array" ref="AA38">_xll.BDP($G38&amp;" ISIN","CHG_PCT_YTD")/100</f>
        <v>7.0118784156091565E-3</v>
      </c>
      <c r="AB38" s="9" t="e">
        <f>S38/$H$41</f>
        <v>#DIV/0!</v>
      </c>
      <c r="AC38" s="12">
        <f t="shared" ca="1" si="3"/>
        <v>-38978.58231111116</v>
      </c>
      <c r="AD38" s="11" t="str">
        <f>_xll.BDP(AI38,"DS199")</f>
        <v>Government</v>
      </c>
      <c r="AE38" s="13">
        <f>_xll.BDP(AI38,"px_ask")</f>
        <v>89.197999999999993</v>
      </c>
      <c r="AF38" s="12">
        <f>IF(F38="USD",O38,(((_xll.BDP(F38&amp;"USD CURNCY","PX_LAST")))*O38))</f>
        <v>511040</v>
      </c>
      <c r="AG38" s="7">
        <f t="shared" si="4"/>
        <v>397600</v>
      </c>
      <c r="AH38" s="7">
        <f t="shared" si="5"/>
        <v>356688</v>
      </c>
      <c r="AI38" s="11" t="str">
        <f t="shared" si="6"/>
        <v>GB00BPSNBB36 ISIN</v>
      </c>
      <c r="AJ38" s="11" t="e" cm="1">
        <f t="array" ref="AJ38">VLOOKUP(IF(NOT(_xll.BDP($G38&amp;" CORP",#REF!)="#N/A N/A"),(_xll.BDP($G38&amp;" CORP",#REF!)),"-"), '[1]Country Codes'!$A$2:$B$253,2,0)</f>
        <v>#REF!</v>
      </c>
      <c r="AK38" s="11" t="str" cm="1">
        <f t="array" ref="AK38">IF(OR(_xll.BDP($AI38,"EX028")= "#N/A N/A", _xll.BDP($AI38,"EX028")="#N/A FIELD NOT APPLICABLE"), " ", _xll.BDP($AI38,"EX028"))</f>
        <v>FixedIncome</v>
      </c>
      <c r="AL38" s="5" t="str">
        <f>(IF(_xll.BDP($AI38&amp;" ISIN","DZ282")="Y","Single line Bonds Cocos","Single line Bonds ex Cocos"))</f>
        <v>Single line Bonds ex Cocos</v>
      </c>
      <c r="AM38" s="6">
        <f>(IF(_xll.BDP($G38&amp;" ISIN","SP153")="#n/a n/a"," ",_xll.BDP($G38&amp;" ISIN","SP153")))</f>
        <v>94.846200685155338</v>
      </c>
      <c r="AN38" s="14">
        <f t="shared" ca="1" si="7"/>
        <v>45755</v>
      </c>
      <c r="AO38" s="7">
        <f>(((_xll.BDP(AI38,"DS032"))/360)*I38)*O38</f>
        <v>3208.333333333333</v>
      </c>
      <c r="AP38" s="7">
        <f>IF(F38="USD",AO38,(((_xll.BDP(F38&amp;"USD CURNCY","PX_LAST")))*AO38))</f>
        <v>4098.9666666666662</v>
      </c>
      <c r="AQ38" s="9" t="e">
        <f>S38/$S$181</f>
        <v>#DIV/0!</v>
      </c>
      <c r="AR38" s="7">
        <f t="shared" si="8"/>
        <v>455704.58880000003</v>
      </c>
      <c r="AS38" s="13">
        <f>IF((TEXT(_xll.BDP(AI38,"MATURITY"),"DD/MM/YYYY")="#N/A Field Not Applicable"),"Perp",_xll.BDP(AI38,"DS252"))</f>
        <v>29.322381930184804</v>
      </c>
      <c r="AT38" s="5" t="str">
        <f>(IF(_xll.BDP($AI38&amp;" ISIN","DT247")="Y","Yes","No"))</f>
        <v>No</v>
      </c>
      <c r="AU38" s="5" t="str">
        <f>PROPER(IF(OR(_xll.BDP($AI38,"CPN_TYP")="#n/a N/A",_xll.BDP($AI38,"CPN_TYP")= "#N/A FIELD NOT APPLICABLE"), " ", _xll.BDP($AI38,"CPN_TYP")))</f>
        <v>Fixed</v>
      </c>
      <c r="BG38" s="27" t="str">
        <f t="shared" si="9"/>
        <v>GB00BPSNBB36</v>
      </c>
      <c r="BH38" s="36">
        <v>45541</v>
      </c>
    </row>
  </sheetData>
  <sortState xmlns:xlrd2="http://schemas.microsoft.com/office/spreadsheetml/2017/richdata2" ref="A2:XFA38">
    <sortCondition ref="E2:E38"/>
    <sortCondition ref="G2:G38"/>
  </sortState>
  <conditionalFormatting sqref="L1:L38 N1:N38">
    <cfRule type="timePeriod" dxfId="12" priority="7" timePeriod="thisMonth">
      <formula>AND(MONTH(L1)=MONTH(TODAY()),YEAR(L1)=YEAR(TODAY()))</formula>
    </cfRule>
  </conditionalFormatting>
  <conditionalFormatting sqref="U2:U38">
    <cfRule type="cellIs" dxfId="11" priority="1" operator="greaterThan">
      <formula>0.05</formula>
    </cfRule>
    <cfRule type="cellIs" dxfId="10" priority="2" operator="lessThan">
      <formula>-0.05</formula>
    </cfRule>
  </conditionalFormatting>
  <conditionalFormatting sqref="V2:V38">
    <cfRule type="expression" dxfId="9" priority="5">
      <formula>AND(ISNUMBER(V2),V2&lt;-0.01)</formula>
    </cfRule>
    <cfRule type="expression" dxfId="8" priority="6">
      <formula>AND(ISNUMBER(V2),V2&gt;0.01)</formula>
    </cfRule>
  </conditionalFormatting>
  <conditionalFormatting sqref="W2:W38">
    <cfRule type="expression" dxfId="7" priority="3">
      <formula>AND(ISNUMBER(W2),W2&lt;-0.05)</formula>
    </cfRule>
    <cfRule type="expression" dxfId="6" priority="4">
      <formula>AND(ISNUMBER(W2),W2&gt;0.05)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E7B2-67B2-4D91-8336-4D322176EEB6}">
  <dimension ref="A1:BG12"/>
  <sheetViews>
    <sheetView showGridLines="0" workbookViewId="0">
      <selection activeCell="E16" sqref="E16"/>
    </sheetView>
  </sheetViews>
  <sheetFormatPr defaultRowHeight="15" x14ac:dyDescent="0.25"/>
  <cols>
    <col min="2" max="2" width="13.28515625" customWidth="1"/>
    <col min="3" max="3" width="17.42578125" customWidth="1"/>
    <col min="4" max="4" width="15.7109375" customWidth="1"/>
    <col min="5" max="5" width="25.85546875" bestFit="1" customWidth="1"/>
    <col min="7" max="7" width="13.140625" bestFit="1" customWidth="1"/>
    <col min="9" max="9" width="10.140625" customWidth="1"/>
    <col min="10" max="10" width="9.5703125" customWidth="1"/>
    <col min="15" max="15" width="9.85546875" bestFit="1" customWidth="1"/>
    <col min="18" max="19" width="10.140625" bestFit="1" customWidth="1"/>
    <col min="50" max="50" width="13.5703125" customWidth="1"/>
    <col min="55" max="55" width="13.42578125" customWidth="1"/>
    <col min="58" max="58" width="10.140625" customWidth="1"/>
  </cols>
  <sheetData>
    <row r="1" spans="1:59" s="4" customFormat="1" ht="30.75" customHeight="1" x14ac:dyDescent="0.25">
      <c r="A1" s="1" t="s">
        <v>129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140</v>
      </c>
      <c r="H1" s="1" t="s">
        <v>141</v>
      </c>
      <c r="I1" s="1" t="s">
        <v>142</v>
      </c>
      <c r="J1" s="1" t="s">
        <v>21</v>
      </c>
      <c r="K1" s="1" t="s">
        <v>143</v>
      </c>
      <c r="L1" s="3" t="s">
        <v>144</v>
      </c>
      <c r="M1" s="1" t="s">
        <v>145</v>
      </c>
      <c r="N1" s="1" t="s">
        <v>146</v>
      </c>
      <c r="O1" s="1" t="s">
        <v>147</v>
      </c>
      <c r="P1" s="1" t="s">
        <v>14</v>
      </c>
      <c r="Q1" s="3" t="s">
        <v>148</v>
      </c>
      <c r="R1" s="1" t="s">
        <v>16</v>
      </c>
      <c r="S1" s="1" t="s">
        <v>149</v>
      </c>
      <c r="T1" s="1" t="s">
        <v>18</v>
      </c>
      <c r="U1" s="3" t="s">
        <v>150</v>
      </c>
      <c r="V1" s="3" t="s">
        <v>130</v>
      </c>
      <c r="W1" s="3" t="s">
        <v>131</v>
      </c>
      <c r="X1" s="1" t="s">
        <v>136</v>
      </c>
      <c r="Y1" s="1" t="s">
        <v>151</v>
      </c>
      <c r="Z1" s="1" t="s">
        <v>23</v>
      </c>
      <c r="AA1" s="3" t="s">
        <v>24</v>
      </c>
      <c r="AB1" s="3" t="s">
        <v>25</v>
      </c>
      <c r="AC1" s="1" t="s">
        <v>152</v>
      </c>
      <c r="AD1" s="3" t="s">
        <v>153</v>
      </c>
      <c r="AE1" s="1" t="s">
        <v>154</v>
      </c>
      <c r="AF1" s="1" t="s">
        <v>155</v>
      </c>
      <c r="AG1" s="1" t="s">
        <v>156</v>
      </c>
      <c r="AH1" s="1" t="s">
        <v>132</v>
      </c>
      <c r="AI1" s="1" t="s">
        <v>157</v>
      </c>
      <c r="AJ1" s="1" t="s">
        <v>158</v>
      </c>
      <c r="AK1" s="1" t="s">
        <v>159</v>
      </c>
      <c r="AL1" s="1" t="s">
        <v>160</v>
      </c>
      <c r="AM1" s="1" t="s">
        <v>161</v>
      </c>
      <c r="AN1" s="1" t="s">
        <v>162</v>
      </c>
      <c r="AO1" s="1" t="s">
        <v>163</v>
      </c>
      <c r="AP1" s="1" t="s">
        <v>164</v>
      </c>
      <c r="AQ1" s="1" t="s">
        <v>165</v>
      </c>
      <c r="AR1" s="1" t="s">
        <v>166</v>
      </c>
      <c r="AS1" s="1" t="s">
        <v>167</v>
      </c>
      <c r="AT1" s="1" t="s">
        <v>168</v>
      </c>
      <c r="AU1" s="1" t="s">
        <v>169</v>
      </c>
      <c r="AV1" s="1" t="s">
        <v>170</v>
      </c>
      <c r="AW1" s="1" t="s">
        <v>171</v>
      </c>
      <c r="AX1" s="1" t="s">
        <v>140</v>
      </c>
      <c r="BC1" s="1" t="s">
        <v>5</v>
      </c>
      <c r="BD1" s="3" t="s">
        <v>37</v>
      </c>
      <c r="BE1" s="1" t="s">
        <v>38</v>
      </c>
      <c r="BF1" s="1" t="s">
        <v>39</v>
      </c>
      <c r="BG1" s="1" t="s">
        <v>172</v>
      </c>
    </row>
    <row r="2" spans="1:59" s="4" customFormat="1" ht="14.45" customHeight="1" x14ac:dyDescent="0.25">
      <c r="A2" s="16" t="s">
        <v>138</v>
      </c>
      <c r="B2" s="16" t="s">
        <v>88</v>
      </c>
      <c r="C2" s="16">
        <v>4371510</v>
      </c>
      <c r="D2" s="16" t="s">
        <v>89</v>
      </c>
      <c r="E2" s="17" t="s">
        <v>173</v>
      </c>
      <c r="F2" s="17" t="s">
        <v>101</v>
      </c>
      <c r="G2" s="18" t="s">
        <v>174</v>
      </c>
      <c r="H2" s="17" t="s">
        <v>175</v>
      </c>
      <c r="I2" s="17" t="s">
        <v>57</v>
      </c>
      <c r="J2" s="17" t="s">
        <v>46</v>
      </c>
      <c r="K2" s="19">
        <v>0.94831659999999995</v>
      </c>
      <c r="L2" s="20">
        <v>4.6773020906872756E-2</v>
      </c>
      <c r="M2" s="20">
        <v>-2.6032470000000002E-2</v>
      </c>
      <c r="N2" s="20">
        <v>-7.6987430000000009E-2</v>
      </c>
      <c r="O2" s="21">
        <v>25000</v>
      </c>
      <c r="P2" s="22">
        <v>40.200000000000003</v>
      </c>
      <c r="Q2" s="17">
        <v>35.729999999999997</v>
      </c>
      <c r="R2" s="23">
        <v>1300269.0000000002</v>
      </c>
      <c r="S2" s="23">
        <v>1155686.8499999999</v>
      </c>
      <c r="T2" s="8">
        <v>-144582.15000000037</v>
      </c>
      <c r="U2" s="10">
        <v>-0.11119402985074653</v>
      </c>
      <c r="V2" s="10">
        <v>1.401345E-3</v>
      </c>
      <c r="W2" s="10">
        <v>1.3617020000000001E-2</v>
      </c>
      <c r="X2" s="10" t="e">
        <v>#VALUE!</v>
      </c>
      <c r="Y2" s="23">
        <v>54054.965196847916</v>
      </c>
      <c r="Z2" s="23">
        <v>1155686.8499999999</v>
      </c>
      <c r="AA2" s="23">
        <v>1005000.0000000001</v>
      </c>
      <c r="AB2" s="23">
        <v>893249.99999999988</v>
      </c>
      <c r="AC2" s="20" t="s">
        <v>176</v>
      </c>
      <c r="AD2" s="24" t="s">
        <v>177</v>
      </c>
      <c r="AE2" s="20" t="s">
        <v>178</v>
      </c>
      <c r="AF2" s="17" t="s">
        <v>179</v>
      </c>
      <c r="AG2" s="17" t="s">
        <v>180</v>
      </c>
      <c r="AH2" s="25">
        <v>-2.1363960000000001E-2</v>
      </c>
      <c r="AI2" s="20">
        <v>-0.15112680000000001</v>
      </c>
      <c r="AJ2" s="20">
        <v>-0.1285007</v>
      </c>
      <c r="AK2" s="20" t="s">
        <v>46</v>
      </c>
      <c r="AL2" s="20">
        <v>1.5E-3</v>
      </c>
      <c r="AM2" s="20">
        <v>1.5E-3</v>
      </c>
      <c r="AN2" s="26">
        <v>0</v>
      </c>
      <c r="AO2" s="20">
        <v>-1.15943E-2</v>
      </c>
      <c r="AP2" s="20">
        <v>-1.2343999999999999E-2</v>
      </c>
      <c r="AQ2" s="20">
        <v>-1.05086E-3</v>
      </c>
      <c r="AR2" s="20">
        <v>9.7712600000000004E-3</v>
      </c>
      <c r="AS2" s="20">
        <v>-5.6010000000000001E-5</v>
      </c>
      <c r="AT2" s="20" t="s">
        <v>46</v>
      </c>
      <c r="AU2" s="20" t="s">
        <v>46</v>
      </c>
      <c r="AV2" s="20" t="s">
        <v>46</v>
      </c>
      <c r="AW2" s="17" t="s">
        <v>181</v>
      </c>
      <c r="AX2" s="17" t="s">
        <v>182</v>
      </c>
      <c r="BC2" s="5" t="s">
        <v>183</v>
      </c>
      <c r="BD2" s="27">
        <v>0.85</v>
      </c>
      <c r="BE2" s="28">
        <v>3</v>
      </c>
      <c r="BF2" s="29" t="s">
        <v>194</v>
      </c>
      <c r="BG2" s="30">
        <v>1.0000000000107532</v>
      </c>
    </row>
    <row r="3" spans="1:59" s="4" customFormat="1" ht="14.45" customHeight="1" x14ac:dyDescent="0.25">
      <c r="A3" s="16" t="s">
        <v>139</v>
      </c>
      <c r="B3" s="16" t="s">
        <v>111</v>
      </c>
      <c r="C3" s="16">
        <v>4392010</v>
      </c>
      <c r="D3" s="16" t="s">
        <v>104</v>
      </c>
      <c r="E3" s="17" t="s">
        <v>173</v>
      </c>
      <c r="F3" s="17" t="s">
        <v>101</v>
      </c>
      <c r="G3" s="18" t="s">
        <v>174</v>
      </c>
      <c r="H3" s="17" t="s">
        <v>175</v>
      </c>
      <c r="I3" s="17" t="s">
        <v>57</v>
      </c>
      <c r="J3" s="17" t="s">
        <v>46</v>
      </c>
      <c r="K3" s="19">
        <v>0.94831659999999995</v>
      </c>
      <c r="L3" s="20">
        <v>4.6773020906872756E-2</v>
      </c>
      <c r="M3" s="20">
        <v>-2.6032470000000002E-2</v>
      </c>
      <c r="N3" s="20">
        <v>-7.6987430000000009E-2</v>
      </c>
      <c r="O3" s="21">
        <v>19098</v>
      </c>
      <c r="P3" s="22">
        <v>40.01</v>
      </c>
      <c r="Q3" s="17">
        <v>35.729999999999997</v>
      </c>
      <c r="R3" s="23">
        <v>988606.78592399997</v>
      </c>
      <c r="S3" s="23">
        <v>882852.2984519999</v>
      </c>
      <c r="T3" s="8">
        <v>-105754.48747200007</v>
      </c>
      <c r="U3" s="10">
        <v>-0.10697325668582862</v>
      </c>
      <c r="V3" s="10">
        <v>1.401345E-3</v>
      </c>
      <c r="W3" s="10">
        <v>1.3617020000000001E-2</v>
      </c>
      <c r="X3" s="10"/>
      <c r="Y3" s="23">
        <v>41293.669013176055</v>
      </c>
      <c r="Z3" s="23">
        <v>882852.2984519999</v>
      </c>
      <c r="AA3" s="23">
        <v>764110.98</v>
      </c>
      <c r="AB3" s="23">
        <v>682371.53999999992</v>
      </c>
      <c r="AC3" s="20" t="s">
        <v>176</v>
      </c>
      <c r="AD3" s="24" t="s">
        <v>177</v>
      </c>
      <c r="AE3" s="20" t="s">
        <v>178</v>
      </c>
      <c r="AF3" s="17" t="s">
        <v>179</v>
      </c>
      <c r="AG3" s="17" t="s">
        <v>180</v>
      </c>
      <c r="AH3" s="25">
        <v>-2.1363960000000001E-2</v>
      </c>
      <c r="AI3" s="20">
        <v>-0.15112680000000001</v>
      </c>
      <c r="AJ3" s="20">
        <v>-0.1285007</v>
      </c>
      <c r="AK3" s="20" t="s">
        <v>46</v>
      </c>
      <c r="AL3" s="20">
        <v>1.5E-3</v>
      </c>
      <c r="AM3" s="20">
        <v>1.5E-3</v>
      </c>
      <c r="AN3" s="26">
        <v>0</v>
      </c>
      <c r="AO3" s="20">
        <v>-1.15943E-2</v>
      </c>
      <c r="AP3" s="20">
        <v>-1.2343999999999999E-2</v>
      </c>
      <c r="AQ3" s="20">
        <v>-1.05086E-3</v>
      </c>
      <c r="AR3" s="20">
        <v>9.7712600000000004E-3</v>
      </c>
      <c r="AS3" s="20">
        <v>-5.6010000000000001E-5</v>
      </c>
      <c r="AT3" s="20" t="s">
        <v>46</v>
      </c>
      <c r="AU3" s="20" t="s">
        <v>46</v>
      </c>
      <c r="AV3" s="20" t="s">
        <v>46</v>
      </c>
      <c r="AW3" s="17" t="s">
        <v>181</v>
      </c>
      <c r="AX3" s="17" t="s">
        <v>182</v>
      </c>
      <c r="BC3" s="5" t="s">
        <v>183</v>
      </c>
      <c r="BD3" s="27">
        <v>0.85</v>
      </c>
      <c r="BE3" s="28">
        <v>4</v>
      </c>
      <c r="BF3" s="29">
        <v>45527</v>
      </c>
      <c r="BG3" s="30">
        <v>1</v>
      </c>
    </row>
    <row r="4" spans="1:59" s="4" customFormat="1" ht="14.45" customHeight="1" x14ac:dyDescent="0.25">
      <c r="A4" s="16" t="s">
        <v>139</v>
      </c>
      <c r="B4" s="16" t="s">
        <v>196</v>
      </c>
      <c r="C4" s="16">
        <v>4381720</v>
      </c>
      <c r="D4" s="16" t="s">
        <v>104</v>
      </c>
      <c r="E4" s="17" t="s">
        <v>173</v>
      </c>
      <c r="F4" s="17" t="s">
        <v>101</v>
      </c>
      <c r="G4" s="18" t="s">
        <v>174</v>
      </c>
      <c r="H4" s="17" t="s">
        <v>175</v>
      </c>
      <c r="I4" s="17" t="s">
        <v>57</v>
      </c>
      <c r="J4" s="17" t="s">
        <v>46</v>
      </c>
      <c r="K4" s="19">
        <v>0.94831659999999995</v>
      </c>
      <c r="L4" s="20">
        <v>4.6773020906872756E-2</v>
      </c>
      <c r="M4" s="20">
        <v>-2.6032470000000002E-2</v>
      </c>
      <c r="N4" s="20">
        <v>-7.6987430000000009E-2</v>
      </c>
      <c r="O4" s="21">
        <v>9557</v>
      </c>
      <c r="P4" s="22">
        <v>40.01</v>
      </c>
      <c r="Q4" s="17">
        <v>35.729999999999997</v>
      </c>
      <c r="R4" s="23">
        <v>494717.51246600004</v>
      </c>
      <c r="S4" s="23">
        <v>441795.969018</v>
      </c>
      <c r="T4" s="8">
        <v>-52921.54344800004</v>
      </c>
      <c r="U4" s="10">
        <v>-0.10697325668582862</v>
      </c>
      <c r="V4" s="10">
        <v>1.401345E-3</v>
      </c>
      <c r="W4" s="10">
        <v>1.3617020000000001E-2</v>
      </c>
      <c r="X4" s="10" t="e">
        <v>#VALUE!</v>
      </c>
      <c r="Y4" s="23">
        <v>20664.132095451023</v>
      </c>
      <c r="Z4" s="23">
        <v>441795.969018</v>
      </c>
      <c r="AA4" s="23">
        <v>382375.57</v>
      </c>
      <c r="AB4" s="23">
        <v>341471.61</v>
      </c>
      <c r="AC4" s="20" t="s">
        <v>176</v>
      </c>
      <c r="AD4" s="24" t="s">
        <v>177</v>
      </c>
      <c r="AE4" s="20" t="s">
        <v>178</v>
      </c>
      <c r="AF4" s="17" t="s">
        <v>179</v>
      </c>
      <c r="AG4" s="17" t="s">
        <v>180</v>
      </c>
      <c r="AH4" s="25">
        <v>-2.1363960000000001E-2</v>
      </c>
      <c r="AI4" s="20">
        <v>-0.15112680000000001</v>
      </c>
      <c r="AJ4" s="20">
        <v>-0.1285007</v>
      </c>
      <c r="AK4" s="20" t="s">
        <v>46</v>
      </c>
      <c r="AL4" s="20">
        <v>1.5E-3</v>
      </c>
      <c r="AM4" s="20">
        <v>1.5E-3</v>
      </c>
      <c r="AN4" s="26">
        <v>0</v>
      </c>
      <c r="AO4" s="20">
        <v>-1.15943E-2</v>
      </c>
      <c r="AP4" s="20">
        <v>-1.2343999999999999E-2</v>
      </c>
      <c r="AQ4" s="20">
        <v>-1.05086E-3</v>
      </c>
      <c r="AR4" s="20">
        <v>9.7712600000000004E-3</v>
      </c>
      <c r="AS4" s="20">
        <v>-5.6010000000000001E-5</v>
      </c>
      <c r="AT4" s="20" t="s">
        <v>46</v>
      </c>
      <c r="AU4" s="20" t="s">
        <v>46</v>
      </c>
      <c r="AV4" s="20" t="s">
        <v>46</v>
      </c>
      <c r="AW4" s="17" t="s">
        <v>181</v>
      </c>
      <c r="AX4" s="17" t="s">
        <v>182</v>
      </c>
      <c r="BC4" s="5" t="s">
        <v>183</v>
      </c>
      <c r="BD4" s="27">
        <v>0</v>
      </c>
      <c r="BE4" s="28">
        <v>4</v>
      </c>
      <c r="BF4" s="29"/>
      <c r="BG4" s="30">
        <v>1.0000000000107532</v>
      </c>
    </row>
    <row r="5" spans="1:59" s="4" customFormat="1" ht="14.45" customHeight="1" x14ac:dyDescent="0.25">
      <c r="A5" s="16" t="s">
        <v>138</v>
      </c>
      <c r="B5" s="16" t="s">
        <v>119</v>
      </c>
      <c r="C5" s="16">
        <v>6504690</v>
      </c>
      <c r="D5" s="16" t="s">
        <v>120</v>
      </c>
      <c r="E5" s="17" t="s">
        <v>173</v>
      </c>
      <c r="F5" s="17" t="s">
        <v>101</v>
      </c>
      <c r="G5" s="18" t="s">
        <v>174</v>
      </c>
      <c r="H5" s="17" t="s">
        <v>175</v>
      </c>
      <c r="I5" s="17" t="s">
        <v>57</v>
      </c>
      <c r="J5" s="17" t="s">
        <v>46</v>
      </c>
      <c r="K5" s="19">
        <v>0.94831659999999995</v>
      </c>
      <c r="L5" s="20">
        <v>4.6773020906872756E-2</v>
      </c>
      <c r="M5" s="20">
        <v>-2.6032470000000002E-2</v>
      </c>
      <c r="N5" s="20">
        <v>-7.6987430000000009E-2</v>
      </c>
      <c r="O5" s="21">
        <v>25113</v>
      </c>
      <c r="P5" s="22">
        <v>39.6419</v>
      </c>
      <c r="Q5" s="17">
        <v>35.729999999999997</v>
      </c>
      <c r="R5" s="23">
        <v>1288012.87749486</v>
      </c>
      <c r="S5" s="23">
        <v>1160910.5545619999</v>
      </c>
      <c r="T5" s="8">
        <v>-127102.32293286012</v>
      </c>
      <c r="U5" s="10">
        <v>-9.8680941125425456E-2</v>
      </c>
      <c r="V5" s="10">
        <v>1.401345E-3</v>
      </c>
      <c r="W5" s="10">
        <v>1.3617020000000001E-2</v>
      </c>
      <c r="X5" s="10" t="e">
        <v>#VALUE!</v>
      </c>
      <c r="Y5" s="23">
        <v>54299.293639537667</v>
      </c>
      <c r="Z5" s="23">
        <v>1160910.5545619999</v>
      </c>
      <c r="AA5" s="23">
        <v>995527.03469999996</v>
      </c>
      <c r="AB5" s="23">
        <v>897287.48999999987</v>
      </c>
      <c r="AC5" s="20" t="s">
        <v>176</v>
      </c>
      <c r="AD5" s="24" t="s">
        <v>177</v>
      </c>
      <c r="AE5" s="20" t="s">
        <v>178</v>
      </c>
      <c r="AF5" s="17" t="s">
        <v>179</v>
      </c>
      <c r="AG5" s="17" t="s">
        <v>180</v>
      </c>
      <c r="AH5" s="25">
        <v>-2.1363960000000001E-2</v>
      </c>
      <c r="AI5" s="20">
        <v>-0.15112680000000001</v>
      </c>
      <c r="AJ5" s="20">
        <v>-0.1285007</v>
      </c>
      <c r="AK5" s="20" t="s">
        <v>46</v>
      </c>
      <c r="AL5" s="20">
        <v>1.5E-3</v>
      </c>
      <c r="AM5" s="20">
        <v>1.5E-3</v>
      </c>
      <c r="AN5" s="26">
        <v>0</v>
      </c>
      <c r="AO5" s="20">
        <v>-1.15943E-2</v>
      </c>
      <c r="AP5" s="20">
        <v>-1.2343999999999999E-2</v>
      </c>
      <c r="AQ5" s="20">
        <v>-1.05086E-3</v>
      </c>
      <c r="AR5" s="20">
        <v>9.7712600000000004E-3</v>
      </c>
      <c r="AS5" s="20">
        <v>-5.6010000000000001E-5</v>
      </c>
      <c r="AT5" s="20" t="s">
        <v>46</v>
      </c>
      <c r="AU5" s="20" t="s">
        <v>46</v>
      </c>
      <c r="AV5" s="20" t="s">
        <v>46</v>
      </c>
      <c r="AW5" s="17" t="s">
        <v>181</v>
      </c>
      <c r="AX5" s="17" t="s">
        <v>182</v>
      </c>
      <c r="BC5" s="5" t="s">
        <v>183</v>
      </c>
      <c r="BD5" s="27"/>
      <c r="BE5" s="28"/>
      <c r="BF5" s="29"/>
      <c r="BG5" s="30"/>
    </row>
    <row r="6" spans="1:59" s="4" customFormat="1" ht="14.45" customHeight="1" x14ac:dyDescent="0.25">
      <c r="A6" s="16" t="s">
        <v>138</v>
      </c>
      <c r="B6" s="16" t="s">
        <v>88</v>
      </c>
      <c r="C6" s="16">
        <v>4371510</v>
      </c>
      <c r="D6" s="16" t="s">
        <v>89</v>
      </c>
      <c r="E6" s="17" t="s">
        <v>184</v>
      </c>
      <c r="F6" s="17" t="s">
        <v>44</v>
      </c>
      <c r="G6" s="18" t="s">
        <v>185</v>
      </c>
      <c r="H6" s="17" t="s">
        <v>186</v>
      </c>
      <c r="I6" s="17" t="s">
        <v>57</v>
      </c>
      <c r="J6" s="17" t="s">
        <v>46</v>
      </c>
      <c r="K6" s="19">
        <v>51.9434666832</v>
      </c>
      <c r="L6" s="20">
        <v>4.2703946778938177E-2</v>
      </c>
      <c r="M6" s="20">
        <v>4.7635379999999998E-2</v>
      </c>
      <c r="N6" s="20">
        <v>2.9680360000000003E-2</v>
      </c>
      <c r="O6" s="21">
        <v>17328</v>
      </c>
      <c r="P6" s="22">
        <v>91.63</v>
      </c>
      <c r="Q6" s="17">
        <v>91.49</v>
      </c>
      <c r="R6" s="23">
        <v>1587764.64</v>
      </c>
      <c r="S6" s="23">
        <v>1585338.72</v>
      </c>
      <c r="T6" s="8">
        <v>-2425.9199999999255</v>
      </c>
      <c r="U6" s="10">
        <v>-1.5278838808250104E-3</v>
      </c>
      <c r="V6" s="10">
        <v>5.0532790000000008E-3</v>
      </c>
      <c r="W6" s="10">
        <v>1.9273620000000002E-2</v>
      </c>
      <c r="X6" s="10" t="e">
        <v>#VALUE!</v>
      </c>
      <c r="Y6" s="23">
        <v>67700.220325469971</v>
      </c>
      <c r="Z6" s="23">
        <v>1585338.72</v>
      </c>
      <c r="AA6" s="23">
        <v>1587764.64</v>
      </c>
      <c r="AB6" s="23">
        <v>1585338.72</v>
      </c>
      <c r="AC6" s="20" t="s">
        <v>176</v>
      </c>
      <c r="AD6" s="24" t="s">
        <v>177</v>
      </c>
      <c r="AE6" s="20" t="s">
        <v>178</v>
      </c>
      <c r="AF6" s="17" t="s">
        <v>187</v>
      </c>
      <c r="AG6" s="17" t="s">
        <v>188</v>
      </c>
      <c r="AH6" s="25">
        <v>-1.0169859999999999E-2</v>
      </c>
      <c r="AI6" s="20">
        <v>-8.4773899999999999E-2</v>
      </c>
      <c r="AJ6" s="20">
        <v>-8.9467190000000002E-2</v>
      </c>
      <c r="AK6" s="20">
        <v>0</v>
      </c>
      <c r="AL6" s="20">
        <v>1.5E-3</v>
      </c>
      <c r="AM6" s="20">
        <v>1.5E-3</v>
      </c>
      <c r="AN6" s="26">
        <v>0</v>
      </c>
      <c r="AO6" s="20">
        <v>-3.174220025539398E-3</v>
      </c>
      <c r="AP6" s="20">
        <v>-3.2935500144958495E-3</v>
      </c>
      <c r="AQ6" s="20" t="s">
        <v>46</v>
      </c>
      <c r="AR6" s="20" t="s">
        <v>46</v>
      </c>
      <c r="AS6" s="20" t="s">
        <v>46</v>
      </c>
      <c r="AT6" s="20" t="s">
        <v>189</v>
      </c>
      <c r="AU6" s="20" t="s">
        <v>46</v>
      </c>
      <c r="AV6" s="20" t="s">
        <v>46</v>
      </c>
      <c r="AW6" s="17" t="s">
        <v>181</v>
      </c>
      <c r="AX6" s="17" t="s">
        <v>190</v>
      </c>
      <c r="BC6" s="5" t="s">
        <v>191</v>
      </c>
      <c r="BD6" s="27">
        <v>0.99</v>
      </c>
      <c r="BE6" s="28">
        <v>3</v>
      </c>
      <c r="BF6" s="29" t="s">
        <v>194</v>
      </c>
      <c r="BG6" s="30">
        <v>1.0000000000107532</v>
      </c>
    </row>
    <row r="7" spans="1:59" s="4" customFormat="1" ht="14.45" customHeight="1" x14ac:dyDescent="0.25">
      <c r="A7" s="16" t="s">
        <v>138</v>
      </c>
      <c r="B7" s="16" t="s">
        <v>98</v>
      </c>
      <c r="C7" s="16" t="s">
        <v>99</v>
      </c>
      <c r="D7" s="16" t="s">
        <v>100</v>
      </c>
      <c r="E7" s="17" t="s">
        <v>184</v>
      </c>
      <c r="F7" s="17" t="s">
        <v>44</v>
      </c>
      <c r="G7" s="18" t="s">
        <v>185</v>
      </c>
      <c r="H7" s="17" t="s">
        <v>186</v>
      </c>
      <c r="I7" s="17" t="s">
        <v>57</v>
      </c>
      <c r="J7" s="17" t="s">
        <v>46</v>
      </c>
      <c r="K7" s="19">
        <v>51.9434666832</v>
      </c>
      <c r="L7" s="20">
        <v>4.2703946778938177E-2</v>
      </c>
      <c r="M7" s="20">
        <v>4.7635379999999998E-2</v>
      </c>
      <c r="N7" s="20">
        <v>2.9680360000000003E-2</v>
      </c>
      <c r="O7" s="21">
        <v>2820</v>
      </c>
      <c r="P7" s="22">
        <v>91.206999999999994</v>
      </c>
      <c r="Q7" s="17">
        <v>91.49</v>
      </c>
      <c r="R7" s="23">
        <v>257203.74</v>
      </c>
      <c r="S7" s="23">
        <v>258001.8</v>
      </c>
      <c r="T7" s="8">
        <v>798.05999999999767</v>
      </c>
      <c r="U7" s="10">
        <v>3.1028320194721806E-3</v>
      </c>
      <c r="V7" s="10">
        <v>5.0532790000000008E-3</v>
      </c>
      <c r="W7" s="10">
        <v>1.9273620000000002E-2</v>
      </c>
      <c r="X7" s="10" t="e">
        <v>#VALUE!</v>
      </c>
      <c r="Y7" s="23">
        <v>11017.695136070251</v>
      </c>
      <c r="Z7" s="23">
        <v>258001.8</v>
      </c>
      <c r="AA7" s="23">
        <v>257203.74</v>
      </c>
      <c r="AB7" s="23">
        <v>258001.8</v>
      </c>
      <c r="AC7" s="20" t="s">
        <v>176</v>
      </c>
      <c r="AD7" s="24" t="s">
        <v>177</v>
      </c>
      <c r="AE7" s="20" t="s">
        <v>178</v>
      </c>
      <c r="AF7" s="17" t="s">
        <v>187</v>
      </c>
      <c r="AG7" s="17" t="s">
        <v>188</v>
      </c>
      <c r="AH7" s="25">
        <v>-1.0169859999999999E-2</v>
      </c>
      <c r="AI7" s="20">
        <v>-8.4773899999999999E-2</v>
      </c>
      <c r="AJ7" s="20">
        <v>-8.9467190000000002E-2</v>
      </c>
      <c r="AK7" s="20">
        <v>0</v>
      </c>
      <c r="AL7" s="20">
        <v>1.5E-3</v>
      </c>
      <c r="AM7" s="20">
        <v>1.5E-3</v>
      </c>
      <c r="AN7" s="26">
        <v>0</v>
      </c>
      <c r="AO7" s="20">
        <v>-3.174220025539398E-3</v>
      </c>
      <c r="AP7" s="20">
        <v>-3.2935500144958495E-3</v>
      </c>
      <c r="AQ7" s="20" t="s">
        <v>46</v>
      </c>
      <c r="AR7" s="20" t="s">
        <v>46</v>
      </c>
      <c r="AS7" s="20" t="s">
        <v>46</v>
      </c>
      <c r="AT7" s="20" t="s">
        <v>189</v>
      </c>
      <c r="AU7" s="20" t="s">
        <v>46</v>
      </c>
      <c r="AV7" s="20" t="s">
        <v>46</v>
      </c>
      <c r="AW7" s="17" t="s">
        <v>181</v>
      </c>
      <c r="AX7" s="17" t="s">
        <v>190</v>
      </c>
      <c r="BC7" s="5" t="s">
        <v>191</v>
      </c>
      <c r="BD7" s="27">
        <v>0.65</v>
      </c>
      <c r="BE7" s="28">
        <v>5</v>
      </c>
      <c r="BF7" s="29" t="s">
        <v>195</v>
      </c>
      <c r="BG7" s="30">
        <v>1.0000000000107532</v>
      </c>
    </row>
    <row r="8" spans="1:59" s="4" customFormat="1" ht="14.45" customHeight="1" x14ac:dyDescent="0.25">
      <c r="A8" s="16" t="s">
        <v>139</v>
      </c>
      <c r="B8" s="16" t="s">
        <v>111</v>
      </c>
      <c r="C8" s="16">
        <v>4392010</v>
      </c>
      <c r="D8" s="16" t="s">
        <v>104</v>
      </c>
      <c r="E8" s="17" t="s">
        <v>184</v>
      </c>
      <c r="F8" s="17" t="s">
        <v>44</v>
      </c>
      <c r="G8" s="18" t="s">
        <v>185</v>
      </c>
      <c r="H8" s="17" t="s">
        <v>186</v>
      </c>
      <c r="I8" s="17" t="s">
        <v>57</v>
      </c>
      <c r="J8" s="17" t="s">
        <v>46</v>
      </c>
      <c r="K8" s="19">
        <v>51.9434666832</v>
      </c>
      <c r="L8" s="20">
        <v>4.2703946778938177E-2</v>
      </c>
      <c r="M8" s="20">
        <v>4.7635379999999998E-2</v>
      </c>
      <c r="N8" s="20">
        <v>2.9680360000000003E-2</v>
      </c>
      <c r="O8" s="21">
        <v>20398</v>
      </c>
      <c r="P8" s="22">
        <v>110.88</v>
      </c>
      <c r="Q8" s="17">
        <v>91.49</v>
      </c>
      <c r="R8" s="23">
        <v>2261730.2399999998</v>
      </c>
      <c r="S8" s="23">
        <v>1866213.0199999998</v>
      </c>
      <c r="T8" s="8">
        <v>-395517.22</v>
      </c>
      <c r="U8" s="10">
        <v>-0.17487373737373738</v>
      </c>
      <c r="V8" s="10">
        <v>5.0532790000000008E-3</v>
      </c>
      <c r="W8" s="10">
        <v>1.9273620000000002E-2</v>
      </c>
      <c r="X8" s="10"/>
      <c r="Y8" s="23">
        <v>79694.661484241486</v>
      </c>
      <c r="Z8" s="23">
        <v>1866213.0199999998</v>
      </c>
      <c r="AA8" s="23">
        <v>2261730.2399999998</v>
      </c>
      <c r="AB8" s="23">
        <v>1866213.0199999998</v>
      </c>
      <c r="AC8" s="20" t="s">
        <v>176</v>
      </c>
      <c r="AD8" s="24" t="s">
        <v>177</v>
      </c>
      <c r="AE8" s="20" t="s">
        <v>178</v>
      </c>
      <c r="AF8" s="17" t="s">
        <v>187</v>
      </c>
      <c r="AG8" s="17" t="s">
        <v>188</v>
      </c>
      <c r="AH8" s="25">
        <v>-1.0169859999999999E-2</v>
      </c>
      <c r="AI8" s="20">
        <v>-8.4773899999999999E-2</v>
      </c>
      <c r="AJ8" s="20">
        <v>-8.9467190000000002E-2</v>
      </c>
      <c r="AK8" s="20">
        <v>0</v>
      </c>
      <c r="AL8" s="20">
        <v>1.5E-3</v>
      </c>
      <c r="AM8" s="20">
        <v>1.5E-3</v>
      </c>
      <c r="AN8" s="26">
        <v>0</v>
      </c>
      <c r="AO8" s="20">
        <v>-3.174220025539398E-3</v>
      </c>
      <c r="AP8" s="20">
        <v>-3.2935500144958495E-3</v>
      </c>
      <c r="AQ8" s="20" t="s">
        <v>46</v>
      </c>
      <c r="AR8" s="20" t="s">
        <v>46</v>
      </c>
      <c r="AS8" s="20" t="s">
        <v>46</v>
      </c>
      <c r="AT8" s="20" t="s">
        <v>189</v>
      </c>
      <c r="AU8" s="20" t="s">
        <v>46</v>
      </c>
      <c r="AV8" s="20" t="s">
        <v>46</v>
      </c>
      <c r="AW8" s="17" t="s">
        <v>181</v>
      </c>
      <c r="AX8" s="17" t="s">
        <v>190</v>
      </c>
      <c r="BC8" s="5" t="s">
        <v>191</v>
      </c>
      <c r="BD8" s="27">
        <v>0.99</v>
      </c>
      <c r="BE8" s="28">
        <v>4</v>
      </c>
      <c r="BF8" s="29">
        <v>45447</v>
      </c>
      <c r="BG8" s="30">
        <v>1</v>
      </c>
    </row>
    <row r="9" spans="1:59" s="4" customFormat="1" ht="14.45" customHeight="1" x14ac:dyDescent="0.25">
      <c r="A9" s="16" t="s">
        <v>138</v>
      </c>
      <c r="B9" s="16" t="s">
        <v>115</v>
      </c>
      <c r="C9" s="16">
        <v>13948491</v>
      </c>
      <c r="D9" s="16" t="s">
        <v>116</v>
      </c>
      <c r="E9" s="17" t="s">
        <v>184</v>
      </c>
      <c r="F9" s="17" t="s">
        <v>44</v>
      </c>
      <c r="G9" s="18" t="s">
        <v>185</v>
      </c>
      <c r="H9" s="17" t="s">
        <v>186</v>
      </c>
      <c r="I9" s="17" t="s">
        <v>57</v>
      </c>
      <c r="J9" s="17" t="s">
        <v>46</v>
      </c>
      <c r="K9" s="19">
        <v>51.9434666832</v>
      </c>
      <c r="L9" s="20">
        <v>4.2703946778938177E-2</v>
      </c>
      <c r="M9" s="20">
        <v>4.7635379999999998E-2</v>
      </c>
      <c r="N9" s="20">
        <v>2.9680360000000003E-2</v>
      </c>
      <c r="O9" s="21">
        <v>5213</v>
      </c>
      <c r="P9" s="22">
        <v>91.07</v>
      </c>
      <c r="Q9" s="17">
        <v>91.49</v>
      </c>
      <c r="R9" s="23">
        <v>474747.91</v>
      </c>
      <c r="S9" s="23">
        <v>476937.37</v>
      </c>
      <c r="T9" s="8">
        <v>2189.460000000021</v>
      </c>
      <c r="U9" s="10">
        <v>4.6118370484243337E-3</v>
      </c>
      <c r="V9" s="10">
        <v>5.0532790000000008E-3</v>
      </c>
      <c r="W9" s="10">
        <v>1.9273620000000002E-2</v>
      </c>
      <c r="X9" s="10" t="e">
        <v>#VALUE!</v>
      </c>
      <c r="Y9" s="23">
        <v>20367.108065366745</v>
      </c>
      <c r="Z9" s="23">
        <v>476937.37</v>
      </c>
      <c r="AA9" s="23">
        <v>474747.91</v>
      </c>
      <c r="AB9" s="23">
        <v>476937.37</v>
      </c>
      <c r="AC9" s="20" t="s">
        <v>176</v>
      </c>
      <c r="AD9" s="24" t="s">
        <v>177</v>
      </c>
      <c r="AE9" s="20" t="s">
        <v>178</v>
      </c>
      <c r="AF9" s="17" t="s">
        <v>187</v>
      </c>
      <c r="AG9" s="17" t="s">
        <v>188</v>
      </c>
      <c r="AH9" s="25">
        <v>-1.0169859999999999E-2</v>
      </c>
      <c r="AI9" s="20">
        <v>-8.4773899999999999E-2</v>
      </c>
      <c r="AJ9" s="20">
        <v>-8.9467190000000002E-2</v>
      </c>
      <c r="AK9" s="20">
        <v>0</v>
      </c>
      <c r="AL9" s="20">
        <v>1.5E-3</v>
      </c>
      <c r="AM9" s="20">
        <v>1.5E-3</v>
      </c>
      <c r="AN9" s="26">
        <v>0</v>
      </c>
      <c r="AO9" s="20">
        <v>-3.174220025539398E-3</v>
      </c>
      <c r="AP9" s="20">
        <v>-3.2935500144958495E-3</v>
      </c>
      <c r="AQ9" s="20" t="s">
        <v>46</v>
      </c>
      <c r="AR9" s="20" t="s">
        <v>46</v>
      </c>
      <c r="AS9" s="20" t="s">
        <v>46</v>
      </c>
      <c r="AT9" s="20" t="s">
        <v>189</v>
      </c>
      <c r="AU9" s="20" t="s">
        <v>46</v>
      </c>
      <c r="AV9" s="20" t="s">
        <v>46</v>
      </c>
      <c r="AW9" s="17" t="s">
        <v>181</v>
      </c>
      <c r="AX9" s="17" t="s">
        <v>190</v>
      </c>
      <c r="BC9" s="5" t="s">
        <v>191</v>
      </c>
      <c r="BD9" s="27">
        <v>0.65</v>
      </c>
      <c r="BE9" s="28">
        <v>5</v>
      </c>
      <c r="BF9" s="29">
        <v>45593</v>
      </c>
      <c r="BG9" s="30">
        <v>1.0000000000107532</v>
      </c>
    </row>
    <row r="10" spans="1:59" s="4" customFormat="1" ht="14.45" customHeight="1" x14ac:dyDescent="0.25">
      <c r="A10" s="16" t="s">
        <v>139</v>
      </c>
      <c r="B10" s="16" t="s">
        <v>196</v>
      </c>
      <c r="C10" s="16">
        <v>4381720</v>
      </c>
      <c r="D10" s="16" t="s">
        <v>104</v>
      </c>
      <c r="E10" s="17" t="s">
        <v>184</v>
      </c>
      <c r="F10" s="17" t="s">
        <v>44</v>
      </c>
      <c r="G10" s="18" t="s">
        <v>185</v>
      </c>
      <c r="H10" s="17" t="s">
        <v>186</v>
      </c>
      <c r="I10" s="17" t="s">
        <v>57</v>
      </c>
      <c r="J10" s="17" t="s">
        <v>46</v>
      </c>
      <c r="K10" s="19">
        <v>51.9434666832</v>
      </c>
      <c r="L10" s="20">
        <v>4.2703946778938177E-2</v>
      </c>
      <c r="M10" s="20">
        <v>4.7635379999999998E-2</v>
      </c>
      <c r="N10" s="20">
        <v>2.9680360000000003E-2</v>
      </c>
      <c r="O10" s="21">
        <v>5067</v>
      </c>
      <c r="P10" s="22">
        <v>98.4</v>
      </c>
      <c r="Q10" s="17">
        <v>91.49</v>
      </c>
      <c r="R10" s="23">
        <v>498592.80000000005</v>
      </c>
      <c r="S10" s="23">
        <v>463579.82999999996</v>
      </c>
      <c r="T10" s="8">
        <v>-35012.970000000088</v>
      </c>
      <c r="U10" s="10">
        <v>-7.0223577235772522E-2</v>
      </c>
      <c r="V10" s="10">
        <v>5.0532790000000008E-3</v>
      </c>
      <c r="W10" s="10">
        <v>1.9273620000000002E-2</v>
      </c>
      <c r="X10" s="10" t="e">
        <v>#VALUE!</v>
      </c>
      <c r="Y10" s="23">
        <v>19796.688388109207</v>
      </c>
      <c r="Z10" s="23">
        <v>463579.82999999996</v>
      </c>
      <c r="AA10" s="23">
        <v>498592.80000000005</v>
      </c>
      <c r="AB10" s="23">
        <v>463579.82999999996</v>
      </c>
      <c r="AC10" s="20" t="s">
        <v>176</v>
      </c>
      <c r="AD10" s="24" t="s">
        <v>177</v>
      </c>
      <c r="AE10" s="20" t="s">
        <v>178</v>
      </c>
      <c r="AF10" s="17" t="s">
        <v>187</v>
      </c>
      <c r="AG10" s="17" t="s">
        <v>188</v>
      </c>
      <c r="AH10" s="25">
        <v>-1.0169859999999999E-2</v>
      </c>
      <c r="AI10" s="20">
        <v>-8.4773899999999999E-2</v>
      </c>
      <c r="AJ10" s="20">
        <v>-8.9467190000000002E-2</v>
      </c>
      <c r="AK10" s="20">
        <v>0</v>
      </c>
      <c r="AL10" s="20">
        <v>1.5E-3</v>
      </c>
      <c r="AM10" s="20">
        <v>1.5E-3</v>
      </c>
      <c r="AN10" s="26">
        <v>0</v>
      </c>
      <c r="AO10" s="20">
        <v>-3.174220025539398E-3</v>
      </c>
      <c r="AP10" s="20">
        <v>-3.2935500144958495E-3</v>
      </c>
      <c r="AQ10" s="20" t="s">
        <v>46</v>
      </c>
      <c r="AR10" s="20" t="s">
        <v>46</v>
      </c>
      <c r="AS10" s="20" t="s">
        <v>46</v>
      </c>
      <c r="AT10" s="20" t="s">
        <v>189</v>
      </c>
      <c r="AU10" s="20" t="s">
        <v>46</v>
      </c>
      <c r="AV10" s="20" t="s">
        <v>46</v>
      </c>
      <c r="AW10" s="17" t="s">
        <v>181</v>
      </c>
      <c r="AX10" s="17" t="s">
        <v>190</v>
      </c>
      <c r="BC10" s="5" t="s">
        <v>191</v>
      </c>
      <c r="BD10" s="27">
        <v>0.99</v>
      </c>
      <c r="BE10" s="28">
        <v>3</v>
      </c>
      <c r="BF10" s="29">
        <v>44417</v>
      </c>
      <c r="BG10" s="30">
        <v>1.0000000000107532</v>
      </c>
    </row>
    <row r="11" spans="1:59" s="4" customFormat="1" ht="14.45" customHeight="1" x14ac:dyDescent="0.25">
      <c r="A11" s="16" t="s">
        <v>138</v>
      </c>
      <c r="B11" s="16" t="s">
        <v>119</v>
      </c>
      <c r="C11" s="16">
        <v>6582977</v>
      </c>
      <c r="D11" s="16" t="s">
        <v>120</v>
      </c>
      <c r="E11" s="17" t="s">
        <v>184</v>
      </c>
      <c r="F11" s="17" t="s">
        <v>44</v>
      </c>
      <c r="G11" s="18" t="s">
        <v>185</v>
      </c>
      <c r="H11" s="17" t="s">
        <v>186</v>
      </c>
      <c r="I11" s="17" t="s">
        <v>57</v>
      </c>
      <c r="J11" s="17" t="s">
        <v>46</v>
      </c>
      <c r="K11" s="19">
        <v>51.9434666832</v>
      </c>
      <c r="L11" s="20">
        <v>4.2703946778938177E-2</v>
      </c>
      <c r="M11" s="20">
        <v>4.7635379999999998E-2</v>
      </c>
      <c r="N11" s="20">
        <v>2.9680360000000003E-2</v>
      </c>
      <c r="O11" s="21">
        <v>10660</v>
      </c>
      <c r="P11" s="22">
        <v>95.203199999999995</v>
      </c>
      <c r="Q11" s="17">
        <v>91.49</v>
      </c>
      <c r="R11" s="23">
        <v>1014866.112</v>
      </c>
      <c r="S11" s="23">
        <v>975283.39999999991</v>
      </c>
      <c r="T11" s="8">
        <v>-39582.712000000058</v>
      </c>
      <c r="U11" s="10">
        <v>-3.9002890659137569E-2</v>
      </c>
      <c r="V11" s="10">
        <v>5.0532790000000008E-3</v>
      </c>
      <c r="W11" s="10">
        <v>1.9273620000000002E-2</v>
      </c>
      <c r="X11" s="10" t="e">
        <v>#VALUE!</v>
      </c>
      <c r="Y11" s="23">
        <v>41648.450407981873</v>
      </c>
      <c r="Z11" s="23">
        <v>975283.39999999991</v>
      </c>
      <c r="AA11" s="23">
        <v>1014866.112</v>
      </c>
      <c r="AB11" s="23">
        <v>975283.39999999991</v>
      </c>
      <c r="AC11" s="20" t="s">
        <v>176</v>
      </c>
      <c r="AD11" s="24" t="s">
        <v>177</v>
      </c>
      <c r="AE11" s="20" t="s">
        <v>178</v>
      </c>
      <c r="AF11" s="17" t="s">
        <v>187</v>
      </c>
      <c r="AG11" s="17" t="s">
        <v>188</v>
      </c>
      <c r="AH11" s="25">
        <v>-1.0169859999999999E-2</v>
      </c>
      <c r="AI11" s="20">
        <v>-8.4773899999999999E-2</v>
      </c>
      <c r="AJ11" s="20">
        <v>-8.9467190000000002E-2</v>
      </c>
      <c r="AK11" s="20">
        <v>0</v>
      </c>
      <c r="AL11" s="20">
        <v>1.5E-3</v>
      </c>
      <c r="AM11" s="20">
        <v>1.5E-3</v>
      </c>
      <c r="AN11" s="26">
        <v>0</v>
      </c>
      <c r="AO11" s="20">
        <v>-3.174220025539398E-3</v>
      </c>
      <c r="AP11" s="20">
        <v>-3.2935500144958495E-3</v>
      </c>
      <c r="AQ11" s="20" t="s">
        <v>46</v>
      </c>
      <c r="AR11" s="20" t="s">
        <v>46</v>
      </c>
      <c r="AS11" s="20" t="s">
        <v>46</v>
      </c>
      <c r="AT11" s="20" t="s">
        <v>189</v>
      </c>
      <c r="AU11" s="20" t="s">
        <v>46</v>
      </c>
      <c r="AV11" s="20" t="s">
        <v>46</v>
      </c>
      <c r="AW11" s="17" t="s">
        <v>181</v>
      </c>
      <c r="AX11" s="17" t="s">
        <v>190</v>
      </c>
      <c r="BC11" s="5" t="s">
        <v>191</v>
      </c>
      <c r="BD11" s="27"/>
      <c r="BE11" s="28"/>
      <c r="BF11" s="29"/>
      <c r="BG11" s="30"/>
    </row>
    <row r="12" spans="1:59" s="4" customFormat="1" ht="14.45" customHeight="1" x14ac:dyDescent="0.25">
      <c r="A12" s="16" t="s">
        <v>138</v>
      </c>
      <c r="B12" s="16" t="s">
        <v>119</v>
      </c>
      <c r="C12" s="16">
        <v>6504690</v>
      </c>
      <c r="D12" s="16" t="s">
        <v>120</v>
      </c>
      <c r="E12" s="17" t="s">
        <v>184</v>
      </c>
      <c r="F12" s="17" t="s">
        <v>44</v>
      </c>
      <c r="G12" s="18" t="s">
        <v>185</v>
      </c>
      <c r="H12" s="17" t="s">
        <v>186</v>
      </c>
      <c r="I12" s="17" t="s">
        <v>57</v>
      </c>
      <c r="J12" s="17" t="s">
        <v>46</v>
      </c>
      <c r="K12" s="19">
        <v>51.9434666832</v>
      </c>
      <c r="L12" s="20">
        <v>4.2703946778938177E-2</v>
      </c>
      <c r="M12" s="20">
        <v>4.7635379999999998E-2</v>
      </c>
      <c r="N12" s="20">
        <v>2.9680360000000003E-2</v>
      </c>
      <c r="O12" s="21">
        <v>13552</v>
      </c>
      <c r="P12" s="22">
        <v>91.221400000000003</v>
      </c>
      <c r="Q12" s="17">
        <v>91.49</v>
      </c>
      <c r="R12" s="23">
        <v>1236232.4128</v>
      </c>
      <c r="S12" s="23">
        <v>1239872.48</v>
      </c>
      <c r="T12" s="8">
        <v>3640.0671999999322</v>
      </c>
      <c r="U12" s="10">
        <v>2.9444845178871952E-3</v>
      </c>
      <c r="V12" s="10">
        <v>5.0532790000000008E-3</v>
      </c>
      <c r="W12" s="10">
        <v>1.9273620000000002E-2</v>
      </c>
      <c r="X12" s="10" t="e">
        <v>#VALUE!</v>
      </c>
      <c r="Y12" s="23">
        <v>52947.448398590088</v>
      </c>
      <c r="Z12" s="23">
        <v>1239872.48</v>
      </c>
      <c r="AA12" s="23">
        <v>1236232.4128</v>
      </c>
      <c r="AB12" s="23">
        <v>1239872.48</v>
      </c>
      <c r="AC12" s="20" t="s">
        <v>176</v>
      </c>
      <c r="AD12" s="24" t="s">
        <v>177</v>
      </c>
      <c r="AE12" s="20" t="s">
        <v>178</v>
      </c>
      <c r="AF12" s="17" t="s">
        <v>187</v>
      </c>
      <c r="AG12" s="17" t="s">
        <v>188</v>
      </c>
      <c r="AH12" s="25">
        <v>-1.0169859999999999E-2</v>
      </c>
      <c r="AI12" s="20">
        <v>-8.4773899999999999E-2</v>
      </c>
      <c r="AJ12" s="20">
        <v>-8.9467190000000002E-2</v>
      </c>
      <c r="AK12" s="20">
        <v>0</v>
      </c>
      <c r="AL12" s="20">
        <v>1.5E-3</v>
      </c>
      <c r="AM12" s="20">
        <v>1.5E-3</v>
      </c>
      <c r="AN12" s="26">
        <v>0</v>
      </c>
      <c r="AO12" s="20">
        <v>-3.174220025539398E-3</v>
      </c>
      <c r="AP12" s="20">
        <v>-3.2935500144958495E-3</v>
      </c>
      <c r="AQ12" s="20" t="s">
        <v>46</v>
      </c>
      <c r="AR12" s="20" t="s">
        <v>46</v>
      </c>
      <c r="AS12" s="20" t="s">
        <v>46</v>
      </c>
      <c r="AT12" s="20" t="s">
        <v>189</v>
      </c>
      <c r="AU12" s="20" t="s">
        <v>46</v>
      </c>
      <c r="AV12" s="20" t="s">
        <v>46</v>
      </c>
      <c r="AW12" s="17" t="s">
        <v>181</v>
      </c>
      <c r="AX12" s="17" t="s">
        <v>190</v>
      </c>
      <c r="BC12" s="5" t="s">
        <v>191</v>
      </c>
      <c r="BD12" s="27"/>
      <c r="BE12" s="28"/>
      <c r="BF12" s="29"/>
      <c r="BG12" s="30"/>
    </row>
  </sheetData>
  <sortState xmlns:xlrd2="http://schemas.microsoft.com/office/spreadsheetml/2017/richdata2" ref="A2:BG12">
    <sortCondition ref="G2:G12"/>
    <sortCondition ref="B2:B12"/>
  </sortState>
  <conditionalFormatting sqref="U2:U12">
    <cfRule type="cellIs" dxfId="5" priority="5" operator="lessThan">
      <formula>-0.07</formula>
    </cfRule>
    <cfRule type="cellIs" dxfId="4" priority="6" operator="greaterThan">
      <formula>0.07</formula>
    </cfRule>
  </conditionalFormatting>
  <conditionalFormatting sqref="V2:V12">
    <cfRule type="cellIs" dxfId="3" priority="3" operator="lessThan">
      <formula>-0.05</formula>
    </cfRule>
    <cfRule type="cellIs" dxfId="2" priority="4" operator="greaterThan">
      <formula>0.05</formula>
    </cfRule>
  </conditionalFormatting>
  <conditionalFormatting sqref="W2:W12">
    <cfRule type="cellIs" dxfId="1" priority="1" operator="greaterThan">
      <formula>0.1</formula>
    </cfRule>
    <cfRule type="cellIs" dxfId="0" priority="2" operator="lessThan">
      <formula>-0.1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DPM Bonds</vt:lpstr>
      <vt:lpstr>DPM ETFs</vt:lpstr>
      <vt:lpstr>High Value Bonds</vt:lpstr>
      <vt:lpstr>High Value ETFs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FCL</dc:creator>
  <cp:lastModifiedBy>FCL</cp:lastModifiedBy>
  <dcterms:created xsi:type="dcterms:W3CDTF">2025-03-28T11:17:44Z</dcterms:created>
  <dcterms:modified xsi:type="dcterms:W3CDTF">2025-04-08T11:49:14Z</dcterms:modified>
</cp:coreProperties>
</file>